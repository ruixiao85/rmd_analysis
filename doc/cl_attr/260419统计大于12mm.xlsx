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ixi\Downloads\"/>
    </mc:Choice>
  </mc:AlternateContent>
  <xr:revisionPtr revIDLastSave="0" documentId="13_ncr:1_{C0C488B9-E614-4CC8-A2E1-ED9959951AA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B24" i="1" l="1"/>
  <c r="L24" i="1"/>
  <c r="K24" i="1"/>
  <c r="AA24" i="1"/>
  <c r="AF24" i="1"/>
  <c r="AB36" i="1"/>
  <c r="L36" i="1"/>
  <c r="K36" i="1"/>
  <c r="AB23" i="1"/>
  <c r="L23" i="1"/>
  <c r="K23" i="1"/>
  <c r="AB22" i="1"/>
  <c r="L22" i="1"/>
  <c r="K22" i="1"/>
  <c r="AB21" i="1"/>
  <c r="L21" i="1"/>
  <c r="K21" i="1"/>
  <c r="AB35" i="1"/>
  <c r="L35" i="1"/>
  <c r="K35" i="1"/>
  <c r="AB34" i="1"/>
  <c r="L34" i="1"/>
  <c r="K34" i="1"/>
  <c r="AB33" i="1"/>
  <c r="L33" i="1"/>
  <c r="K33" i="1"/>
  <c r="AB32" i="1"/>
  <c r="L32" i="1"/>
  <c r="K32" i="1"/>
  <c r="AB31" i="1"/>
  <c r="L31" i="1"/>
  <c r="K31" i="1"/>
  <c r="L30" i="1"/>
  <c r="K30" i="1"/>
  <c r="AB29" i="1"/>
  <c r="L29" i="1"/>
  <c r="K29" i="1"/>
  <c r="AB28" i="1"/>
  <c r="L28" i="1"/>
  <c r="K28" i="1"/>
  <c r="AB27" i="1"/>
  <c r="L27" i="1"/>
  <c r="K27" i="1"/>
  <c r="AB26" i="1"/>
  <c r="L26" i="1"/>
  <c r="K26" i="1"/>
  <c r="AB25" i="1"/>
  <c r="L25" i="1"/>
  <c r="K25" i="1"/>
  <c r="AB20" i="1"/>
  <c r="L20" i="1"/>
  <c r="K20" i="1"/>
  <c r="AB19" i="1"/>
  <c r="L19" i="1"/>
  <c r="K19" i="1"/>
  <c r="AB18" i="1"/>
  <c r="L18" i="1"/>
  <c r="K18" i="1"/>
  <c r="AB17" i="1"/>
  <c r="L17" i="1"/>
  <c r="K17" i="1"/>
  <c r="AB16" i="1"/>
  <c r="L16" i="1"/>
  <c r="K16" i="1"/>
  <c r="AB15" i="1"/>
  <c r="L15" i="1"/>
  <c r="K15" i="1"/>
  <c r="AB14" i="1"/>
  <c r="L14" i="1"/>
  <c r="K14" i="1"/>
  <c r="AB13" i="1"/>
  <c r="L13" i="1"/>
  <c r="K13" i="1"/>
  <c r="AB12" i="1"/>
  <c r="L12" i="1"/>
  <c r="K12" i="1"/>
  <c r="AB11" i="1"/>
  <c r="L11" i="1"/>
  <c r="K11" i="1"/>
  <c r="AB10" i="1"/>
  <c r="L10" i="1"/>
  <c r="K10" i="1"/>
  <c r="AB9" i="1"/>
  <c r="L9" i="1"/>
  <c r="K9" i="1"/>
  <c r="AB8" i="1"/>
  <c r="L8" i="1"/>
  <c r="K8" i="1"/>
  <c r="AB7" i="1"/>
  <c r="L7" i="1"/>
  <c r="K7" i="1"/>
  <c r="AB6" i="1"/>
  <c r="L6" i="1"/>
  <c r="K6" i="1"/>
  <c r="AB5" i="1"/>
  <c r="L5" i="1"/>
  <c r="K5" i="1"/>
  <c r="AB4" i="1"/>
  <c r="L4" i="1"/>
  <c r="K4" i="1"/>
  <c r="AB3" i="1"/>
  <c r="L3" i="1"/>
  <c r="K3" i="1"/>
  <c r="AB2" i="1"/>
  <c r="L2" i="1"/>
  <c r="K2" i="1"/>
</calcChain>
</file>

<file path=xl/sharedStrings.xml><?xml version="1.0" encoding="utf-8"?>
<sst xmlns="http://schemas.openxmlformats.org/spreadsheetml/2006/main" count="90" uniqueCount="57">
  <si>
    <t>compare</t>
  </si>
  <si>
    <t>age</t>
  </si>
  <si>
    <t>gender</t>
  </si>
  <si>
    <t>height</t>
  </si>
  <si>
    <t>weight</t>
  </si>
  <si>
    <t>SBP</t>
  </si>
  <si>
    <t>LVIDd</t>
  </si>
  <si>
    <t>MWT</t>
  </si>
  <si>
    <t>LVMI</t>
  </si>
  <si>
    <t>E(cm/s)</t>
  </si>
  <si>
    <t>A(cm/s)</t>
  </si>
  <si>
    <t>E/A</t>
  </si>
  <si>
    <t>DT</t>
  </si>
  <si>
    <t>E/e'</t>
  </si>
  <si>
    <t>LVEDV(ml)</t>
  </si>
  <si>
    <t>LVESV(ml)</t>
  </si>
  <si>
    <t>A4C</t>
  </si>
  <si>
    <t>A2C</t>
  </si>
  <si>
    <t>GLS</t>
  </si>
  <si>
    <t>PSD</t>
  </si>
  <si>
    <t>EF/GLS</t>
  </si>
  <si>
    <t>GWI</t>
  </si>
  <si>
    <t>GCW</t>
  </si>
  <si>
    <t>GWW</t>
  </si>
  <si>
    <t>GWE</t>
  </si>
  <si>
    <t>基底段GWI</t>
  </si>
  <si>
    <t>中间段GWI</t>
  </si>
  <si>
    <t>心尖部GWI</t>
  </si>
  <si>
    <t>左房前后径</t>
  </si>
  <si>
    <t>左房上下径</t>
  </si>
  <si>
    <t>左房左右径</t>
  </si>
  <si>
    <t>LAVmin</t>
  </si>
  <si>
    <t>LAVmax</t>
  </si>
  <si>
    <t>LAVpreA</t>
  </si>
  <si>
    <t>LAVImax(ml/m2)</t>
  </si>
  <si>
    <t>LAEV(ml)</t>
  </si>
  <si>
    <t>LAEF</t>
  </si>
  <si>
    <t>LASr%</t>
  </si>
  <si>
    <t>LAScd%</t>
  </si>
  <si>
    <t>LASct%</t>
  </si>
  <si>
    <t>LASr-c%</t>
  </si>
  <si>
    <t>LAScd-c%</t>
  </si>
  <si>
    <t>LASct-c%</t>
  </si>
  <si>
    <t>心房僵硬度E/e':LASr</t>
  </si>
  <si>
    <t>attr</t>
  </si>
  <si>
    <t>al</t>
  </si>
  <si>
    <t>DBP</t>
  </si>
  <si>
    <t>IVS/LVPWd</t>
  </si>
  <si>
    <t>LVPWd</t>
  </si>
  <si>
    <t>LVEF</t>
  </si>
  <si>
    <t>Aplex</t>
  </si>
  <si>
    <t>apial/(m+b)</t>
  </si>
  <si>
    <t>apial/basal</t>
  </si>
  <si>
    <t>apial LS</t>
  </si>
  <si>
    <t>mid LS</t>
  </si>
  <si>
    <t>basal LS</t>
  </si>
  <si>
    <t>RWT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</si>
</sst>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;[Red]0.00"/>
  </numFmts>
  <fonts count="4">
    <font>
      <sz val="10"/>
      <color theme="1"/>
      <name val="等线"/>
      <family val="2"/>
      <charset val="134"/>
      <scheme val="minor"/>
    </font>
    <font>
      <sz val="11"/>
      <name val="等线"/>
      <charset val="134"/>
    </font>
    <font>
      <sz val="10"/>
      <color rgb="FFF88825"/>
      <name val="等线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164" fontId="1" fillId="0" borderId="0" xfId="0" applyNumberFormat="1" applyFont="1" applyAlignment="1"/>
    <xf numFmtId="165" fontId="0" fillId="0" borderId="0" xfId="0" applyNumberFormat="1">
      <alignment vertical="center"/>
    </xf>
    <xf numFmtId="0" fontId="2" fillId="0" borderId="0" xfId="0" applyFont="1">
      <alignment vertical="center"/>
    </xf>
    <xf numFmtId="165" fontId="2" fillId="0" borderId="0" xfId="0" applyNumberFormat="1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tabSelected="1" workbookViewId="0">
      <selection activeCell="A25" sqref="A25:XFD25"/>
    </sheetView>
  </sheetViews>
  <sheetFormatPr defaultRowHeight="12.45"/>
  <cols>
    <col min="11" max="12" width="13.6640625" style="5"/>
    <col min="28" max="28" width="13.6640625" style="5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  <c r="H1" t="s">
        <v>6</v>
      </c>
      <c r="I1" t="s">
        <v>7</v>
      </c>
      <c r="J1" t="s">
        <v>48</v>
      </c>
      <c r="K1" s="5" t="s">
        <v>56</v>
      </c>
      <c r="L1" s="5" t="s">
        <v>47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49</v>
      </c>
      <c r="V1" t="s">
        <v>16</v>
      </c>
      <c r="W1" t="s">
        <v>17</v>
      </c>
      <c r="X1" t="s">
        <v>50</v>
      </c>
      <c r="Y1" t="s">
        <v>18</v>
      </c>
      <c r="Z1" t="s">
        <v>19</v>
      </c>
      <c r="AA1" t="s">
        <v>51</v>
      </c>
      <c r="AB1" s="5" t="s">
        <v>52</v>
      </c>
      <c r="AC1" t="s">
        <v>53</v>
      </c>
      <c r="AD1" t="s">
        <v>54</v>
      </c>
      <c r="AE1" t="s">
        <v>55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</row>
    <row r="2" spans="1:55">
      <c r="A2" t="s">
        <v>44</v>
      </c>
      <c r="B2">
        <v>45</v>
      </c>
      <c r="C2">
        <v>1</v>
      </c>
      <c r="D2">
        <v>176</v>
      </c>
      <c r="E2">
        <v>52</v>
      </c>
      <c r="F2">
        <v>126</v>
      </c>
      <c r="G2">
        <v>84</v>
      </c>
      <c r="H2">
        <v>48</v>
      </c>
      <c r="I2">
        <v>13</v>
      </c>
      <c r="J2">
        <v>11</v>
      </c>
      <c r="K2" s="6">
        <f t="shared" ref="K2:K35" si="0">(I2+J2)/H2</f>
        <v>0.5</v>
      </c>
      <c r="L2" s="6">
        <f t="shared" ref="L2:L35" si="1">I2/J2</f>
        <v>1.1818181818181819</v>
      </c>
      <c r="M2">
        <v>138.44</v>
      </c>
      <c r="N2">
        <v>81</v>
      </c>
      <c r="O2">
        <v>89</v>
      </c>
      <c r="P2">
        <v>0.91</v>
      </c>
      <c r="Q2">
        <v>202</v>
      </c>
      <c r="R2">
        <v>13.1</v>
      </c>
      <c r="S2">
        <v>68</v>
      </c>
      <c r="T2">
        <v>27</v>
      </c>
      <c r="U2">
        <v>60</v>
      </c>
      <c r="V2">
        <v>-18.97</v>
      </c>
      <c r="W2">
        <v>-17.899999999999999</v>
      </c>
      <c r="X2">
        <v>-17.54</v>
      </c>
      <c r="Y2">
        <v>-18.14</v>
      </c>
      <c r="Z2">
        <v>70.69</v>
      </c>
      <c r="AA2">
        <v>0.75</v>
      </c>
      <c r="AB2" s="6">
        <f t="shared" ref="AB2:AB29" si="2">AC2/AE2</f>
        <v>1.9780219780219779</v>
      </c>
      <c r="AC2">
        <v>-23.4</v>
      </c>
      <c r="AD2">
        <v>-19.329999999999998</v>
      </c>
      <c r="AE2">
        <v>-11.83</v>
      </c>
      <c r="AF2">
        <v>-3.31</v>
      </c>
      <c r="AG2">
        <v>1931</v>
      </c>
      <c r="AH2">
        <v>2107</v>
      </c>
      <c r="AI2">
        <v>101</v>
      </c>
      <c r="AJ2">
        <v>94</v>
      </c>
      <c r="AK2">
        <v>1369</v>
      </c>
      <c r="AL2">
        <v>1992</v>
      </c>
      <c r="AM2">
        <v>2430</v>
      </c>
      <c r="AN2">
        <v>36</v>
      </c>
      <c r="AO2">
        <v>43</v>
      </c>
      <c r="AP2">
        <v>36</v>
      </c>
      <c r="AQ2">
        <v>23</v>
      </c>
      <c r="AR2">
        <v>53</v>
      </c>
      <c r="AS2">
        <v>39</v>
      </c>
      <c r="AT2">
        <v>32</v>
      </c>
      <c r="AU2">
        <v>30</v>
      </c>
      <c r="AV2">
        <v>56</v>
      </c>
      <c r="AW2">
        <v>27</v>
      </c>
      <c r="AX2">
        <v>-12</v>
      </c>
      <c r="AY2">
        <v>-14</v>
      </c>
      <c r="AZ2">
        <v>32</v>
      </c>
      <c r="BA2">
        <v>-12</v>
      </c>
      <c r="BB2">
        <v>-20</v>
      </c>
      <c r="BC2">
        <v>0.49</v>
      </c>
    </row>
    <row r="3" spans="1:55">
      <c r="A3" t="s">
        <v>44</v>
      </c>
      <c r="B3">
        <v>64</v>
      </c>
      <c r="C3">
        <v>1</v>
      </c>
      <c r="D3">
        <v>169</v>
      </c>
      <c r="E3">
        <v>62</v>
      </c>
      <c r="F3">
        <v>120</v>
      </c>
      <c r="G3">
        <v>79</v>
      </c>
      <c r="H3">
        <v>40</v>
      </c>
      <c r="I3">
        <v>14</v>
      </c>
      <c r="J3">
        <v>10</v>
      </c>
      <c r="K3" s="6">
        <f t="shared" si="0"/>
        <v>0.6</v>
      </c>
      <c r="L3" s="6">
        <f t="shared" si="1"/>
        <v>1.4</v>
      </c>
      <c r="M3">
        <v>101.34</v>
      </c>
      <c r="N3">
        <v>61</v>
      </c>
      <c r="O3">
        <v>99</v>
      </c>
      <c r="P3">
        <v>0.62</v>
      </c>
      <c r="Q3">
        <v>164</v>
      </c>
      <c r="R3">
        <v>12.2</v>
      </c>
      <c r="S3">
        <v>67</v>
      </c>
      <c r="T3">
        <v>30</v>
      </c>
      <c r="U3">
        <v>55</v>
      </c>
      <c r="V3">
        <v>-14.59</v>
      </c>
      <c r="W3">
        <v>-15.53</v>
      </c>
      <c r="X3">
        <v>-13.43</v>
      </c>
      <c r="Y3">
        <v>-14.52</v>
      </c>
      <c r="Z3">
        <v>62.01</v>
      </c>
      <c r="AA3">
        <v>0.79</v>
      </c>
      <c r="AB3" s="6">
        <f t="shared" si="2"/>
        <v>1.8282548476454294</v>
      </c>
      <c r="AC3">
        <v>-19.8</v>
      </c>
      <c r="AD3">
        <v>-14.17</v>
      </c>
      <c r="AE3">
        <v>-10.83</v>
      </c>
      <c r="AF3">
        <v>-3.79</v>
      </c>
      <c r="AG3">
        <v>1451</v>
      </c>
      <c r="AH3">
        <v>1582</v>
      </c>
      <c r="AI3">
        <v>71</v>
      </c>
      <c r="AJ3">
        <v>95</v>
      </c>
      <c r="AK3">
        <v>1218</v>
      </c>
      <c r="AL3">
        <v>1332</v>
      </c>
      <c r="AM3">
        <v>1802</v>
      </c>
      <c r="AN3">
        <v>33</v>
      </c>
      <c r="AO3">
        <v>41</v>
      </c>
      <c r="AP3">
        <v>30</v>
      </c>
      <c r="AQ3">
        <v>26</v>
      </c>
      <c r="AR3">
        <v>46</v>
      </c>
      <c r="AS3">
        <v>35</v>
      </c>
      <c r="AT3">
        <v>27</v>
      </c>
      <c r="AU3">
        <v>20</v>
      </c>
      <c r="AV3">
        <v>44</v>
      </c>
      <c r="AW3">
        <v>18</v>
      </c>
      <c r="AX3">
        <v>-8</v>
      </c>
      <c r="AY3">
        <v>-10</v>
      </c>
      <c r="AZ3">
        <v>20</v>
      </c>
      <c r="BA3">
        <v>-11</v>
      </c>
      <c r="BB3">
        <v>-9</v>
      </c>
      <c r="BC3">
        <v>0.68</v>
      </c>
    </row>
    <row r="4" spans="1:55">
      <c r="A4" t="s">
        <v>44</v>
      </c>
      <c r="B4">
        <v>72</v>
      </c>
      <c r="C4">
        <v>1</v>
      </c>
      <c r="D4">
        <v>180</v>
      </c>
      <c r="E4">
        <v>65</v>
      </c>
      <c r="F4">
        <v>142</v>
      </c>
      <c r="G4">
        <v>96</v>
      </c>
      <c r="H4">
        <v>48</v>
      </c>
      <c r="I4">
        <v>23</v>
      </c>
      <c r="J4">
        <v>12</v>
      </c>
      <c r="K4" s="6">
        <f t="shared" si="0"/>
        <v>0.72916666666666663</v>
      </c>
      <c r="L4" s="6">
        <f t="shared" si="1"/>
        <v>1.9166666666666667</v>
      </c>
      <c r="M4">
        <v>214.42</v>
      </c>
      <c r="N4">
        <v>121</v>
      </c>
      <c r="O4">
        <v>56</v>
      </c>
      <c r="P4">
        <v>2.1800000000000002</v>
      </c>
      <c r="Q4">
        <v>135</v>
      </c>
      <c r="R4">
        <v>22</v>
      </c>
      <c r="S4">
        <v>53</v>
      </c>
      <c r="T4">
        <v>28</v>
      </c>
      <c r="U4">
        <v>47</v>
      </c>
      <c r="V4">
        <v>-8.8000000000000007</v>
      </c>
      <c r="W4">
        <v>-9.1199999999999992</v>
      </c>
      <c r="X4">
        <v>-11.43</v>
      </c>
      <c r="Y4">
        <v>-9.7799999999999994</v>
      </c>
      <c r="Z4">
        <v>92.93</v>
      </c>
      <c r="AA4">
        <v>1.1200000000000001</v>
      </c>
      <c r="AB4" s="6">
        <f t="shared" si="2"/>
        <v>3.6</v>
      </c>
      <c r="AC4">
        <v>-14.4</v>
      </c>
      <c r="AD4">
        <v>-8.83</v>
      </c>
      <c r="AE4">
        <v>-4</v>
      </c>
      <c r="AF4">
        <v>-4.8099999999999996</v>
      </c>
      <c r="AG4">
        <v>874</v>
      </c>
      <c r="AH4">
        <v>1327</v>
      </c>
      <c r="AI4">
        <v>186</v>
      </c>
      <c r="AJ4">
        <v>84</v>
      </c>
      <c r="AK4">
        <v>570</v>
      </c>
      <c r="AL4">
        <v>898</v>
      </c>
      <c r="AM4">
        <v>1153</v>
      </c>
      <c r="AN4">
        <v>47</v>
      </c>
      <c r="AO4">
        <v>63</v>
      </c>
      <c r="AP4">
        <v>44</v>
      </c>
      <c r="AQ4">
        <v>75</v>
      </c>
      <c r="AR4">
        <v>85</v>
      </c>
      <c r="AS4">
        <v>82</v>
      </c>
      <c r="AT4">
        <v>47</v>
      </c>
      <c r="AU4">
        <v>10</v>
      </c>
      <c r="AV4">
        <v>12</v>
      </c>
      <c r="AW4">
        <v>2</v>
      </c>
      <c r="AX4">
        <v>0</v>
      </c>
      <c r="AY4">
        <v>-2</v>
      </c>
      <c r="AZ4">
        <v>3</v>
      </c>
      <c r="BA4">
        <v>-2</v>
      </c>
      <c r="BB4">
        <v>-1</v>
      </c>
      <c r="BC4">
        <v>11</v>
      </c>
    </row>
    <row r="5" spans="1:55">
      <c r="A5" t="s">
        <v>44</v>
      </c>
      <c r="B5">
        <v>63</v>
      </c>
      <c r="C5">
        <v>1</v>
      </c>
      <c r="D5">
        <v>168</v>
      </c>
      <c r="E5">
        <v>46</v>
      </c>
      <c r="F5">
        <v>97</v>
      </c>
      <c r="G5">
        <v>62</v>
      </c>
      <c r="H5">
        <v>44</v>
      </c>
      <c r="I5">
        <v>20</v>
      </c>
      <c r="J5">
        <v>14</v>
      </c>
      <c r="K5" s="6">
        <f t="shared" si="0"/>
        <v>0.77272727272727271</v>
      </c>
      <c r="L5" s="6">
        <f t="shared" si="1"/>
        <v>1.4285714285714286</v>
      </c>
      <c r="M5">
        <v>214.32</v>
      </c>
      <c r="N5">
        <v>54</v>
      </c>
      <c r="O5">
        <v>86</v>
      </c>
      <c r="P5">
        <v>0.62</v>
      </c>
      <c r="Q5">
        <v>241</v>
      </c>
      <c r="R5">
        <v>13.5</v>
      </c>
      <c r="S5">
        <v>69</v>
      </c>
      <c r="T5">
        <v>29</v>
      </c>
      <c r="U5">
        <v>57</v>
      </c>
      <c r="V5">
        <v>-10.14</v>
      </c>
      <c r="W5">
        <v>-11.08</v>
      </c>
      <c r="X5">
        <v>-10.43</v>
      </c>
      <c r="Y5">
        <v>-10.55</v>
      </c>
      <c r="Z5">
        <v>102.64</v>
      </c>
      <c r="AA5">
        <v>0.84</v>
      </c>
      <c r="AB5" s="6">
        <f t="shared" si="2"/>
        <v>2.3636363636363638</v>
      </c>
      <c r="AC5">
        <v>-13</v>
      </c>
      <c r="AD5">
        <v>-10</v>
      </c>
      <c r="AE5">
        <v>-5.5</v>
      </c>
      <c r="AF5">
        <v>-5.4</v>
      </c>
      <c r="AG5">
        <v>664</v>
      </c>
      <c r="AH5">
        <v>741</v>
      </c>
      <c r="AI5">
        <v>89</v>
      </c>
      <c r="AJ5">
        <v>86</v>
      </c>
      <c r="AK5">
        <v>503</v>
      </c>
      <c r="AL5">
        <v>643</v>
      </c>
      <c r="AM5">
        <v>846</v>
      </c>
      <c r="AN5">
        <v>41</v>
      </c>
      <c r="AO5">
        <v>51</v>
      </c>
      <c r="AP5">
        <v>35</v>
      </c>
      <c r="AQ5">
        <v>37</v>
      </c>
      <c r="AR5">
        <v>63</v>
      </c>
      <c r="AS5">
        <v>58</v>
      </c>
      <c r="AT5">
        <v>42</v>
      </c>
      <c r="AU5">
        <v>26</v>
      </c>
      <c r="AV5">
        <v>42</v>
      </c>
      <c r="AW5">
        <v>8</v>
      </c>
      <c r="AX5">
        <v>-2</v>
      </c>
      <c r="AY5">
        <v>-6</v>
      </c>
      <c r="AZ5">
        <v>30</v>
      </c>
      <c r="BA5">
        <v>-6</v>
      </c>
      <c r="BB5">
        <v>-25</v>
      </c>
      <c r="BC5">
        <v>1.69</v>
      </c>
    </row>
    <row r="6" spans="1:55">
      <c r="A6" t="s">
        <v>44</v>
      </c>
      <c r="B6">
        <v>63</v>
      </c>
      <c r="C6">
        <v>1</v>
      </c>
      <c r="D6">
        <v>174</v>
      </c>
      <c r="E6">
        <v>53</v>
      </c>
      <c r="F6">
        <v>131</v>
      </c>
      <c r="G6">
        <v>79</v>
      </c>
      <c r="H6">
        <v>44</v>
      </c>
      <c r="I6">
        <v>20</v>
      </c>
      <c r="J6">
        <v>16</v>
      </c>
      <c r="K6" s="6">
        <f t="shared" si="0"/>
        <v>0.81818181818181823</v>
      </c>
      <c r="L6" s="6">
        <f t="shared" si="1"/>
        <v>1.25</v>
      </c>
      <c r="M6">
        <v>216.48</v>
      </c>
      <c r="N6">
        <v>104</v>
      </c>
      <c r="O6">
        <v>54</v>
      </c>
      <c r="P6">
        <v>1.93</v>
      </c>
      <c r="Q6">
        <v>261</v>
      </c>
      <c r="R6">
        <v>26</v>
      </c>
      <c r="S6">
        <v>86</v>
      </c>
      <c r="T6">
        <v>42</v>
      </c>
      <c r="U6">
        <v>51</v>
      </c>
      <c r="V6">
        <v>-7.14</v>
      </c>
      <c r="W6">
        <v>-8.82</v>
      </c>
      <c r="X6">
        <v>-9.4</v>
      </c>
      <c r="Y6">
        <v>-8.4600000000000009</v>
      </c>
      <c r="Z6">
        <v>93.05</v>
      </c>
      <c r="AA6">
        <v>0.75</v>
      </c>
      <c r="AB6" s="6">
        <f t="shared" si="2"/>
        <v>1.2515964240102171</v>
      </c>
      <c r="AC6">
        <v>-9.8000000000000007</v>
      </c>
      <c r="AD6">
        <v>-5.17</v>
      </c>
      <c r="AE6">
        <v>-7.83</v>
      </c>
      <c r="AF6">
        <v>-6.03</v>
      </c>
      <c r="AG6">
        <v>244</v>
      </c>
      <c r="AH6">
        <v>202</v>
      </c>
      <c r="AI6">
        <v>68</v>
      </c>
      <c r="AJ6">
        <v>77</v>
      </c>
      <c r="AK6">
        <v>278</v>
      </c>
      <c r="AL6">
        <v>251</v>
      </c>
      <c r="AM6">
        <v>203</v>
      </c>
      <c r="AN6">
        <v>48</v>
      </c>
      <c r="AO6">
        <v>71</v>
      </c>
      <c r="AP6">
        <v>50</v>
      </c>
      <c r="AQ6">
        <v>77</v>
      </c>
      <c r="AR6">
        <v>103</v>
      </c>
      <c r="AS6">
        <v>98</v>
      </c>
      <c r="AT6">
        <v>63</v>
      </c>
      <c r="AU6">
        <v>26</v>
      </c>
      <c r="AV6">
        <v>25</v>
      </c>
      <c r="AW6">
        <v>3</v>
      </c>
      <c r="AX6">
        <v>-1</v>
      </c>
      <c r="AY6">
        <v>-1</v>
      </c>
      <c r="AZ6">
        <v>4</v>
      </c>
      <c r="BA6">
        <v>-3</v>
      </c>
      <c r="BB6">
        <v>-1</v>
      </c>
      <c r="BC6">
        <v>8.67</v>
      </c>
    </row>
    <row r="7" spans="1:55">
      <c r="A7" t="s">
        <v>44</v>
      </c>
      <c r="B7">
        <v>37</v>
      </c>
      <c r="C7">
        <v>1</v>
      </c>
      <c r="D7">
        <v>174</v>
      </c>
      <c r="E7">
        <v>39</v>
      </c>
      <c r="F7">
        <v>115</v>
      </c>
      <c r="G7">
        <v>82</v>
      </c>
      <c r="H7">
        <v>46</v>
      </c>
      <c r="I7">
        <v>14</v>
      </c>
      <c r="J7">
        <v>12</v>
      </c>
      <c r="K7" s="6">
        <f t="shared" si="0"/>
        <v>0.56521739130434778</v>
      </c>
      <c r="L7" s="6">
        <f t="shared" si="1"/>
        <v>1.1666666666666667</v>
      </c>
      <c r="M7">
        <v>150.66999999999999</v>
      </c>
      <c r="N7">
        <v>83</v>
      </c>
      <c r="O7">
        <v>72</v>
      </c>
      <c r="P7">
        <v>0.72</v>
      </c>
      <c r="Q7">
        <v>121</v>
      </c>
      <c r="R7">
        <v>12.78</v>
      </c>
      <c r="S7">
        <v>52</v>
      </c>
      <c r="T7">
        <v>27</v>
      </c>
      <c r="U7">
        <v>48</v>
      </c>
      <c r="V7">
        <v>-10.09</v>
      </c>
      <c r="W7">
        <v>-11.66</v>
      </c>
      <c r="X7">
        <v>-12.07</v>
      </c>
      <c r="Y7">
        <v>-11.27</v>
      </c>
      <c r="Z7">
        <v>57.14</v>
      </c>
      <c r="AA7">
        <v>0.96</v>
      </c>
      <c r="AB7" s="6">
        <f t="shared" si="2"/>
        <v>3.1055900621118013</v>
      </c>
      <c r="AC7">
        <v>-15</v>
      </c>
      <c r="AD7">
        <v>-10.83</v>
      </c>
      <c r="AE7">
        <v>-4.83</v>
      </c>
      <c r="AF7">
        <v>-4.26</v>
      </c>
      <c r="AG7">
        <v>1075</v>
      </c>
      <c r="AH7">
        <v>1160</v>
      </c>
      <c r="AI7">
        <v>73</v>
      </c>
      <c r="AJ7">
        <v>92</v>
      </c>
      <c r="AK7">
        <v>642</v>
      </c>
      <c r="AL7">
        <v>1064</v>
      </c>
      <c r="AM7">
        <v>1265</v>
      </c>
      <c r="AN7">
        <v>35</v>
      </c>
      <c r="AO7">
        <v>49</v>
      </c>
      <c r="AP7">
        <v>38</v>
      </c>
      <c r="AQ7">
        <v>22</v>
      </c>
      <c r="AR7">
        <v>47</v>
      </c>
      <c r="AS7">
        <v>35</v>
      </c>
      <c r="AT7">
        <v>33</v>
      </c>
      <c r="AU7">
        <v>25</v>
      </c>
      <c r="AV7">
        <v>53</v>
      </c>
      <c r="AW7">
        <v>17</v>
      </c>
      <c r="AX7">
        <v>-8</v>
      </c>
      <c r="AY7">
        <v>-9</v>
      </c>
      <c r="AZ7">
        <v>27</v>
      </c>
      <c r="BA7">
        <v>-14</v>
      </c>
      <c r="BB7">
        <v>-13</v>
      </c>
      <c r="BC7">
        <v>0.75</v>
      </c>
    </row>
    <row r="8" spans="1:55">
      <c r="A8" t="s">
        <v>44</v>
      </c>
      <c r="B8">
        <v>60</v>
      </c>
      <c r="C8">
        <v>1</v>
      </c>
      <c r="D8">
        <v>160</v>
      </c>
      <c r="E8">
        <v>58</v>
      </c>
      <c r="F8">
        <v>123</v>
      </c>
      <c r="G8">
        <v>70</v>
      </c>
      <c r="H8">
        <v>44</v>
      </c>
      <c r="I8">
        <v>23</v>
      </c>
      <c r="J8">
        <v>15</v>
      </c>
      <c r="K8" s="6">
        <f t="shared" si="0"/>
        <v>0.86363636363636365</v>
      </c>
      <c r="L8" s="6">
        <f t="shared" si="1"/>
        <v>1.5333333333333334</v>
      </c>
      <c r="M8">
        <v>259.01</v>
      </c>
      <c r="N8">
        <v>87</v>
      </c>
      <c r="O8">
        <v>48</v>
      </c>
      <c r="P8">
        <v>1.82</v>
      </c>
      <c r="Q8">
        <v>169</v>
      </c>
      <c r="R8">
        <v>13.38</v>
      </c>
      <c r="S8">
        <v>77</v>
      </c>
      <c r="T8">
        <v>41</v>
      </c>
      <c r="U8">
        <v>46</v>
      </c>
      <c r="V8">
        <v>-9.89</v>
      </c>
      <c r="W8">
        <v>-9.7100000000000009</v>
      </c>
      <c r="X8">
        <v>-10</v>
      </c>
      <c r="Y8">
        <v>-9.86</v>
      </c>
      <c r="Z8">
        <v>95.57</v>
      </c>
      <c r="AA8">
        <v>1.17</v>
      </c>
      <c r="AB8" s="6">
        <f t="shared" si="2"/>
        <v>4.2271293375394325</v>
      </c>
      <c r="AC8">
        <v>-13.4</v>
      </c>
      <c r="AD8">
        <v>-8.33</v>
      </c>
      <c r="AE8">
        <v>-3.17</v>
      </c>
      <c r="AF8">
        <v>-4.67</v>
      </c>
      <c r="AG8">
        <v>978</v>
      </c>
      <c r="AH8">
        <v>1064</v>
      </c>
      <c r="AI8">
        <v>101</v>
      </c>
      <c r="AJ8">
        <v>88</v>
      </c>
      <c r="AK8">
        <v>240</v>
      </c>
      <c r="AL8">
        <v>809</v>
      </c>
      <c r="AM8">
        <v>1585</v>
      </c>
      <c r="AN8">
        <v>37</v>
      </c>
      <c r="AO8">
        <v>57</v>
      </c>
      <c r="AP8">
        <v>43</v>
      </c>
      <c r="AQ8">
        <v>23</v>
      </c>
      <c r="AR8">
        <v>50</v>
      </c>
      <c r="AS8">
        <v>38</v>
      </c>
      <c r="AT8">
        <v>31</v>
      </c>
      <c r="AU8">
        <v>26</v>
      </c>
      <c r="AV8">
        <v>53</v>
      </c>
      <c r="AW8">
        <v>14</v>
      </c>
      <c r="AX8">
        <v>-7</v>
      </c>
      <c r="AY8">
        <v>-7</v>
      </c>
      <c r="AZ8">
        <v>37</v>
      </c>
      <c r="BA8">
        <v>-13</v>
      </c>
      <c r="BB8">
        <v>-24</v>
      </c>
      <c r="BC8">
        <v>0.96</v>
      </c>
    </row>
    <row r="9" spans="1:55">
      <c r="A9" t="s">
        <v>44</v>
      </c>
      <c r="B9">
        <v>62</v>
      </c>
      <c r="C9">
        <v>1</v>
      </c>
      <c r="D9">
        <v>168</v>
      </c>
      <c r="E9">
        <v>50</v>
      </c>
      <c r="F9">
        <v>97</v>
      </c>
      <c r="G9">
        <v>65</v>
      </c>
      <c r="H9">
        <v>46</v>
      </c>
      <c r="I9">
        <v>17</v>
      </c>
      <c r="J9">
        <v>12</v>
      </c>
      <c r="K9" s="6">
        <f t="shared" si="0"/>
        <v>0.63043478260869568</v>
      </c>
      <c r="L9" s="6">
        <f t="shared" si="1"/>
        <v>1.4166666666666667</v>
      </c>
      <c r="M9">
        <v>163.30000000000001</v>
      </c>
      <c r="N9">
        <v>53</v>
      </c>
      <c r="O9">
        <v>83</v>
      </c>
      <c r="P9">
        <v>0.83</v>
      </c>
      <c r="Q9">
        <v>195</v>
      </c>
      <c r="R9">
        <v>10.6</v>
      </c>
      <c r="S9">
        <v>58</v>
      </c>
      <c r="T9">
        <v>23</v>
      </c>
      <c r="U9">
        <v>60</v>
      </c>
      <c r="V9">
        <v>-15.08</v>
      </c>
      <c r="W9">
        <v>-16</v>
      </c>
      <c r="X9">
        <v>-16.899999999999999</v>
      </c>
      <c r="Y9">
        <v>-15.99</v>
      </c>
      <c r="Z9">
        <v>93.41</v>
      </c>
      <c r="AA9">
        <v>0.65</v>
      </c>
      <c r="AB9" s="6">
        <f t="shared" si="2"/>
        <v>1.2920592193808882</v>
      </c>
      <c r="AC9">
        <v>-19.2</v>
      </c>
      <c r="AD9">
        <v>-14.67</v>
      </c>
      <c r="AE9">
        <v>-14.86</v>
      </c>
      <c r="AF9">
        <v>-3.75</v>
      </c>
      <c r="AG9">
        <v>1151</v>
      </c>
      <c r="AH9">
        <v>1238</v>
      </c>
      <c r="AI9">
        <v>83</v>
      </c>
      <c r="AJ9">
        <v>92</v>
      </c>
      <c r="AK9">
        <v>898</v>
      </c>
      <c r="AL9">
        <v>1045</v>
      </c>
      <c r="AM9">
        <v>1510</v>
      </c>
      <c r="AN9">
        <v>31</v>
      </c>
      <c r="AO9">
        <v>49</v>
      </c>
      <c r="AP9">
        <v>36</v>
      </c>
      <c r="AQ9">
        <v>21</v>
      </c>
      <c r="AR9">
        <v>42</v>
      </c>
      <c r="AS9">
        <v>32</v>
      </c>
      <c r="AT9">
        <v>27</v>
      </c>
      <c r="AU9">
        <v>21</v>
      </c>
      <c r="AV9">
        <v>50</v>
      </c>
      <c r="AW9">
        <v>19</v>
      </c>
      <c r="AX9">
        <v>-13</v>
      </c>
      <c r="AY9">
        <v>-6</v>
      </c>
      <c r="AZ9">
        <v>17</v>
      </c>
      <c r="BA9">
        <v>-10</v>
      </c>
      <c r="BB9">
        <v>-7</v>
      </c>
      <c r="BC9">
        <v>0.56000000000000005</v>
      </c>
    </row>
    <row r="10" spans="1:55">
      <c r="A10" t="s">
        <v>44</v>
      </c>
      <c r="B10">
        <v>68</v>
      </c>
      <c r="C10">
        <v>1</v>
      </c>
      <c r="D10">
        <v>173</v>
      </c>
      <c r="E10">
        <v>65</v>
      </c>
      <c r="F10">
        <v>120</v>
      </c>
      <c r="G10">
        <v>80</v>
      </c>
      <c r="H10">
        <v>50</v>
      </c>
      <c r="I10">
        <v>22</v>
      </c>
      <c r="J10">
        <v>13</v>
      </c>
      <c r="K10" s="6">
        <f t="shared" si="0"/>
        <v>0.7</v>
      </c>
      <c r="L10" s="6">
        <f t="shared" si="1"/>
        <v>1.6923076923076923</v>
      </c>
      <c r="M10">
        <v>223.09</v>
      </c>
      <c r="S10">
        <v>92</v>
      </c>
      <c r="T10">
        <v>51</v>
      </c>
      <c r="U10">
        <v>44</v>
      </c>
      <c r="V10">
        <v>-11.22</v>
      </c>
      <c r="W10">
        <v>-11</v>
      </c>
      <c r="X10">
        <v>-10.85</v>
      </c>
      <c r="Y10">
        <v>-11.02</v>
      </c>
      <c r="Z10">
        <v>75.52</v>
      </c>
      <c r="AA10">
        <v>1.45</v>
      </c>
      <c r="AB10" s="6">
        <f t="shared" si="2"/>
        <v>14.017094017094017</v>
      </c>
      <c r="AC10">
        <v>-16.399999999999999</v>
      </c>
      <c r="AD10">
        <v>-10.17</v>
      </c>
      <c r="AE10">
        <v>-1.17</v>
      </c>
      <c r="AF10">
        <v>-3.99</v>
      </c>
      <c r="AG10">
        <v>1031</v>
      </c>
      <c r="AH10">
        <v>1140</v>
      </c>
      <c r="AI10">
        <v>90</v>
      </c>
      <c r="AJ10">
        <v>89</v>
      </c>
      <c r="AK10">
        <v>550</v>
      </c>
      <c r="AL10">
        <v>988</v>
      </c>
      <c r="AM10">
        <v>1554</v>
      </c>
      <c r="AN10">
        <v>36</v>
      </c>
      <c r="AO10">
        <v>60</v>
      </c>
      <c r="AP10">
        <v>44</v>
      </c>
      <c r="AQ10">
        <v>36</v>
      </c>
      <c r="AR10">
        <v>62</v>
      </c>
      <c r="AS10">
        <v>45</v>
      </c>
      <c r="AT10">
        <v>35</v>
      </c>
      <c r="AU10">
        <v>26</v>
      </c>
      <c r="AV10">
        <v>42</v>
      </c>
      <c r="AW10">
        <v>3</v>
      </c>
      <c r="AX10">
        <v>-3</v>
      </c>
      <c r="AY10">
        <v>0</v>
      </c>
      <c r="AZ10">
        <v>13</v>
      </c>
      <c r="BA10">
        <v>-13</v>
      </c>
      <c r="BB10">
        <v>0</v>
      </c>
    </row>
    <row r="11" spans="1:55">
      <c r="A11" t="s">
        <v>44</v>
      </c>
      <c r="B11">
        <v>70</v>
      </c>
      <c r="C11">
        <v>1</v>
      </c>
      <c r="D11">
        <v>170</v>
      </c>
      <c r="E11">
        <v>65</v>
      </c>
      <c r="F11">
        <v>92</v>
      </c>
      <c r="G11">
        <v>69</v>
      </c>
      <c r="H11">
        <v>43</v>
      </c>
      <c r="I11">
        <v>16</v>
      </c>
      <c r="J11">
        <v>13</v>
      </c>
      <c r="K11" s="6">
        <f t="shared" si="0"/>
        <v>0.67441860465116277</v>
      </c>
      <c r="L11" s="6">
        <f t="shared" si="1"/>
        <v>1.2307692307692308</v>
      </c>
      <c r="M11">
        <v>111.88</v>
      </c>
      <c r="N11">
        <v>54</v>
      </c>
      <c r="O11">
        <v>79</v>
      </c>
      <c r="P11">
        <v>0.68</v>
      </c>
      <c r="Q11">
        <v>215</v>
      </c>
      <c r="R11">
        <v>13.5</v>
      </c>
      <c r="S11">
        <v>65</v>
      </c>
      <c r="T11">
        <v>32</v>
      </c>
      <c r="U11">
        <v>51</v>
      </c>
      <c r="V11">
        <v>-11.2</v>
      </c>
      <c r="W11">
        <v>-13.44</v>
      </c>
      <c r="X11">
        <v>-16.86</v>
      </c>
      <c r="Y11">
        <v>-13.83</v>
      </c>
      <c r="Z11">
        <v>80.290000000000006</v>
      </c>
      <c r="AA11">
        <v>0.66</v>
      </c>
      <c r="AB11" s="6">
        <f t="shared" si="2"/>
        <v>1.6421052631578947</v>
      </c>
      <c r="AC11">
        <v>-15.6</v>
      </c>
      <c r="AD11">
        <v>-14.17</v>
      </c>
      <c r="AE11">
        <v>-9.5</v>
      </c>
      <c r="AF11">
        <v>-3.69</v>
      </c>
      <c r="AG11">
        <v>1139</v>
      </c>
      <c r="AH11">
        <v>1221</v>
      </c>
      <c r="AI11">
        <v>81</v>
      </c>
      <c r="AJ11">
        <v>93</v>
      </c>
      <c r="AK11">
        <v>815</v>
      </c>
      <c r="AL11">
        <v>1179</v>
      </c>
      <c r="AM11">
        <v>1423</v>
      </c>
      <c r="AN11">
        <v>37</v>
      </c>
      <c r="AO11">
        <v>51</v>
      </c>
      <c r="AP11">
        <v>40</v>
      </c>
      <c r="AQ11">
        <v>17</v>
      </c>
      <c r="AR11">
        <v>35</v>
      </c>
      <c r="AS11">
        <v>25</v>
      </c>
      <c r="AT11">
        <v>20</v>
      </c>
      <c r="AU11">
        <v>17</v>
      </c>
      <c r="AV11">
        <v>50</v>
      </c>
      <c r="AW11">
        <v>12</v>
      </c>
      <c r="AX11">
        <v>-12</v>
      </c>
      <c r="AY11">
        <v>0</v>
      </c>
      <c r="AZ11">
        <v>23</v>
      </c>
      <c r="BA11">
        <v>-14</v>
      </c>
      <c r="BB11">
        <v>-9</v>
      </c>
      <c r="BC11">
        <v>1.1299999999999999</v>
      </c>
    </row>
    <row r="12" spans="1:55">
      <c r="A12" t="s">
        <v>44</v>
      </c>
      <c r="B12">
        <v>61</v>
      </c>
      <c r="C12">
        <v>1</v>
      </c>
      <c r="D12">
        <v>170</v>
      </c>
      <c r="E12">
        <v>60</v>
      </c>
      <c r="F12">
        <v>119</v>
      </c>
      <c r="G12">
        <v>73</v>
      </c>
      <c r="H12">
        <v>43</v>
      </c>
      <c r="I12">
        <v>17</v>
      </c>
      <c r="J12">
        <v>12</v>
      </c>
      <c r="K12" s="6">
        <f t="shared" si="0"/>
        <v>0.67441860465116277</v>
      </c>
      <c r="L12" s="6">
        <f t="shared" si="1"/>
        <v>1.4166666666666667</v>
      </c>
      <c r="M12">
        <v>124.61</v>
      </c>
      <c r="N12">
        <v>78</v>
      </c>
      <c r="O12">
        <v>111</v>
      </c>
      <c r="P12">
        <v>0.7</v>
      </c>
      <c r="Q12">
        <v>151</v>
      </c>
      <c r="R12">
        <v>10.4</v>
      </c>
      <c r="S12">
        <v>67</v>
      </c>
      <c r="T12">
        <v>35</v>
      </c>
      <c r="U12">
        <v>48</v>
      </c>
      <c r="V12">
        <v>-15.19</v>
      </c>
      <c r="W12">
        <v>-11.49</v>
      </c>
      <c r="X12">
        <v>-13.42</v>
      </c>
      <c r="Y12">
        <v>-13.37</v>
      </c>
      <c r="Z12">
        <v>75.099999999999994</v>
      </c>
      <c r="AA12">
        <v>0.68</v>
      </c>
      <c r="AB12" s="6">
        <f t="shared" si="2"/>
        <v>1.6934619506966775</v>
      </c>
      <c r="AC12">
        <v>-15.8</v>
      </c>
      <c r="AD12">
        <v>-13.83</v>
      </c>
      <c r="AE12">
        <v>-9.33</v>
      </c>
      <c r="AF12">
        <v>-3.59</v>
      </c>
      <c r="AG12">
        <v>1285</v>
      </c>
      <c r="AH12">
        <v>1392</v>
      </c>
      <c r="AI12">
        <v>63</v>
      </c>
      <c r="AJ12">
        <v>94</v>
      </c>
      <c r="AK12">
        <v>1045</v>
      </c>
      <c r="AL12">
        <v>1283</v>
      </c>
      <c r="AM12">
        <v>1527</v>
      </c>
      <c r="AN12">
        <v>36</v>
      </c>
      <c r="AO12">
        <v>55</v>
      </c>
      <c r="AP12">
        <v>38</v>
      </c>
      <c r="AQ12">
        <v>26</v>
      </c>
      <c r="AR12">
        <v>49</v>
      </c>
      <c r="AS12">
        <v>35</v>
      </c>
      <c r="AT12">
        <v>29</v>
      </c>
      <c r="AU12">
        <v>22</v>
      </c>
      <c r="AV12">
        <v>46</v>
      </c>
      <c r="AW12">
        <v>16</v>
      </c>
      <c r="AX12">
        <v>-12</v>
      </c>
      <c r="AY12">
        <v>-4</v>
      </c>
      <c r="AZ12">
        <v>21</v>
      </c>
      <c r="BA12">
        <v>-13</v>
      </c>
      <c r="BB12">
        <v>-8</v>
      </c>
      <c r="BC12">
        <v>0.65</v>
      </c>
    </row>
    <row r="13" spans="1:55">
      <c r="A13" t="s">
        <v>44</v>
      </c>
      <c r="B13">
        <v>71</v>
      </c>
      <c r="C13">
        <v>1</v>
      </c>
      <c r="D13">
        <v>146</v>
      </c>
      <c r="E13">
        <v>41</v>
      </c>
      <c r="F13">
        <v>122</v>
      </c>
      <c r="G13">
        <v>82</v>
      </c>
      <c r="H13">
        <v>39</v>
      </c>
      <c r="I13">
        <v>16</v>
      </c>
      <c r="J13">
        <v>11</v>
      </c>
      <c r="K13" s="6">
        <f t="shared" si="0"/>
        <v>0.69230769230769229</v>
      </c>
      <c r="L13" s="6">
        <f t="shared" si="1"/>
        <v>1.4545454545454546</v>
      </c>
      <c r="M13">
        <v>104.68</v>
      </c>
      <c r="N13">
        <v>66</v>
      </c>
      <c r="O13">
        <v>79</v>
      </c>
      <c r="P13">
        <v>0.84</v>
      </c>
      <c r="Q13">
        <v>212</v>
      </c>
      <c r="R13">
        <v>11</v>
      </c>
      <c r="S13">
        <v>44</v>
      </c>
      <c r="T13">
        <v>22</v>
      </c>
      <c r="U13">
        <v>50</v>
      </c>
      <c r="V13">
        <v>-19.28</v>
      </c>
      <c r="W13">
        <v>-15.49</v>
      </c>
      <c r="X13">
        <v>-17.03</v>
      </c>
      <c r="Y13">
        <v>-17.27</v>
      </c>
      <c r="Z13">
        <v>75.58</v>
      </c>
      <c r="AA13">
        <v>0.93</v>
      </c>
      <c r="AB13" s="6">
        <f t="shared" si="2"/>
        <v>2.5836216839677046</v>
      </c>
      <c r="AC13">
        <v>-22.4</v>
      </c>
      <c r="AD13">
        <v>-15.5</v>
      </c>
      <c r="AE13">
        <v>-8.67</v>
      </c>
      <c r="AF13">
        <v>-2.9</v>
      </c>
      <c r="AG13">
        <v>1649</v>
      </c>
      <c r="AH13">
        <v>1771</v>
      </c>
      <c r="AI13">
        <v>71</v>
      </c>
      <c r="AJ13">
        <v>94</v>
      </c>
      <c r="AK13">
        <v>991</v>
      </c>
      <c r="AL13">
        <v>1474</v>
      </c>
      <c r="AM13">
        <v>2482</v>
      </c>
      <c r="AN13">
        <v>34</v>
      </c>
      <c r="AO13">
        <v>45</v>
      </c>
      <c r="AP13">
        <v>39</v>
      </c>
      <c r="AQ13">
        <v>26</v>
      </c>
      <c r="AR13">
        <v>44</v>
      </c>
      <c r="AS13">
        <v>37</v>
      </c>
      <c r="AT13">
        <v>34</v>
      </c>
      <c r="AU13">
        <v>18</v>
      </c>
      <c r="AV13">
        <v>41</v>
      </c>
      <c r="AW13">
        <v>12</v>
      </c>
      <c r="AX13">
        <v>-5</v>
      </c>
      <c r="AY13">
        <v>-7</v>
      </c>
      <c r="AZ13">
        <v>24</v>
      </c>
      <c r="BA13">
        <v>-8</v>
      </c>
      <c r="BB13">
        <v>-16</v>
      </c>
      <c r="BC13">
        <v>0.92</v>
      </c>
    </row>
    <row r="14" spans="1:55">
      <c r="A14" t="s">
        <v>44</v>
      </c>
      <c r="B14">
        <v>95</v>
      </c>
      <c r="C14">
        <v>1</v>
      </c>
      <c r="D14">
        <v>170</v>
      </c>
      <c r="E14">
        <v>60</v>
      </c>
      <c r="F14">
        <v>85</v>
      </c>
      <c r="G14">
        <v>62</v>
      </c>
      <c r="H14">
        <v>54</v>
      </c>
      <c r="I14">
        <v>13</v>
      </c>
      <c r="J14">
        <v>11</v>
      </c>
      <c r="K14" s="6">
        <f t="shared" si="0"/>
        <v>0.44444444444444442</v>
      </c>
      <c r="L14" s="6">
        <f t="shared" si="1"/>
        <v>1.1818181818181819</v>
      </c>
      <c r="M14">
        <v>148.82</v>
      </c>
      <c r="N14">
        <v>66</v>
      </c>
      <c r="O14">
        <v>64</v>
      </c>
      <c r="P14">
        <v>1</v>
      </c>
      <c r="Q14">
        <v>220</v>
      </c>
      <c r="R14">
        <v>16.5</v>
      </c>
      <c r="S14">
        <v>119</v>
      </c>
      <c r="T14">
        <v>57</v>
      </c>
      <c r="U14">
        <v>52</v>
      </c>
      <c r="V14">
        <v>-12.66</v>
      </c>
      <c r="W14">
        <v>-14.46</v>
      </c>
      <c r="X14">
        <v>-15.16</v>
      </c>
      <c r="Y14">
        <v>-14.1</v>
      </c>
      <c r="Z14">
        <v>109.9</v>
      </c>
      <c r="AA14">
        <v>1</v>
      </c>
      <c r="AB14" s="6">
        <f t="shared" si="2"/>
        <v>2.8696925329428993</v>
      </c>
      <c r="AC14">
        <v>-19.600000000000001</v>
      </c>
      <c r="AD14">
        <v>-12.83</v>
      </c>
      <c r="AE14">
        <v>-6.83</v>
      </c>
      <c r="AF14">
        <v>-3.69</v>
      </c>
      <c r="AG14">
        <v>933</v>
      </c>
      <c r="AH14">
        <v>1144</v>
      </c>
      <c r="AI14">
        <v>105</v>
      </c>
      <c r="AJ14">
        <v>90</v>
      </c>
      <c r="AK14">
        <v>769</v>
      </c>
      <c r="AL14">
        <v>847</v>
      </c>
      <c r="AM14">
        <v>1183</v>
      </c>
      <c r="AN14">
        <v>39</v>
      </c>
      <c r="AO14">
        <v>59</v>
      </c>
      <c r="AP14">
        <v>40</v>
      </c>
    </row>
    <row r="15" spans="1:55">
      <c r="A15" t="s">
        <v>44</v>
      </c>
      <c r="B15">
        <v>59</v>
      </c>
      <c r="C15">
        <v>1</v>
      </c>
      <c r="D15">
        <v>168</v>
      </c>
      <c r="E15">
        <v>50</v>
      </c>
      <c r="F15">
        <v>97</v>
      </c>
      <c r="G15">
        <v>64</v>
      </c>
      <c r="H15">
        <v>46</v>
      </c>
      <c r="I15">
        <v>24</v>
      </c>
      <c r="J15">
        <v>13</v>
      </c>
      <c r="K15" s="6">
        <f t="shared" si="0"/>
        <v>0.80434782608695654</v>
      </c>
      <c r="L15" s="6">
        <f t="shared" si="1"/>
        <v>1.8461538461538463</v>
      </c>
      <c r="M15">
        <v>217.27</v>
      </c>
      <c r="N15">
        <v>68</v>
      </c>
      <c r="O15">
        <v>110</v>
      </c>
      <c r="P15">
        <v>0.62</v>
      </c>
      <c r="Q15">
        <v>209</v>
      </c>
      <c r="R15">
        <v>11.3</v>
      </c>
      <c r="S15">
        <v>98</v>
      </c>
      <c r="T15">
        <v>51</v>
      </c>
      <c r="U15">
        <v>47</v>
      </c>
      <c r="V15">
        <v>-9.8800000000000008</v>
      </c>
      <c r="W15">
        <v>-12.86</v>
      </c>
      <c r="X15">
        <v>-10.15</v>
      </c>
      <c r="Y15">
        <v>-10.96</v>
      </c>
      <c r="Z15">
        <v>111.85</v>
      </c>
      <c r="AA15">
        <v>1.01</v>
      </c>
      <c r="AB15" s="6">
        <f t="shared" si="2"/>
        <v>2.6540284360189572</v>
      </c>
      <c r="AC15">
        <v>-16.8</v>
      </c>
      <c r="AD15">
        <v>-10.33</v>
      </c>
      <c r="AE15">
        <v>-6.33</v>
      </c>
      <c r="AF15">
        <v>-4.29</v>
      </c>
      <c r="AG15">
        <v>781</v>
      </c>
      <c r="AH15">
        <v>898</v>
      </c>
      <c r="AI15">
        <v>84</v>
      </c>
      <c r="AJ15">
        <v>90</v>
      </c>
      <c r="AK15">
        <v>687</v>
      </c>
      <c r="AL15">
        <v>796</v>
      </c>
      <c r="AM15">
        <v>859</v>
      </c>
      <c r="AN15">
        <v>34</v>
      </c>
      <c r="AO15">
        <v>53</v>
      </c>
      <c r="AP15">
        <v>37</v>
      </c>
      <c r="AQ15">
        <v>29</v>
      </c>
      <c r="AR15">
        <v>58</v>
      </c>
      <c r="AS15">
        <v>46</v>
      </c>
      <c r="AT15">
        <v>38</v>
      </c>
      <c r="AU15">
        <v>29</v>
      </c>
      <c r="AV15">
        <v>50</v>
      </c>
      <c r="AW15">
        <v>15</v>
      </c>
      <c r="AX15">
        <v>-5</v>
      </c>
      <c r="AY15">
        <v>-10</v>
      </c>
      <c r="AZ15">
        <v>29</v>
      </c>
      <c r="BA15">
        <v>-13</v>
      </c>
      <c r="BB15">
        <v>-17</v>
      </c>
      <c r="BC15">
        <v>0.75</v>
      </c>
    </row>
    <row r="16" spans="1:55">
      <c r="A16" t="s">
        <v>44</v>
      </c>
      <c r="B16">
        <v>68</v>
      </c>
      <c r="C16">
        <v>1</v>
      </c>
      <c r="D16">
        <v>172</v>
      </c>
      <c r="E16">
        <v>79</v>
      </c>
      <c r="F16">
        <v>118</v>
      </c>
      <c r="G16">
        <v>77</v>
      </c>
      <c r="H16">
        <v>51</v>
      </c>
      <c r="I16">
        <v>18</v>
      </c>
      <c r="J16">
        <v>15</v>
      </c>
      <c r="K16" s="6">
        <f t="shared" si="0"/>
        <v>0.6470588235294118</v>
      </c>
      <c r="L16" s="6">
        <f t="shared" si="1"/>
        <v>1.2</v>
      </c>
      <c r="M16">
        <v>208.25</v>
      </c>
      <c r="N16">
        <v>56</v>
      </c>
      <c r="O16">
        <v>89</v>
      </c>
      <c r="P16">
        <v>0.62</v>
      </c>
      <c r="Q16">
        <v>296</v>
      </c>
      <c r="R16">
        <v>7</v>
      </c>
      <c r="S16">
        <v>104</v>
      </c>
      <c r="T16">
        <v>50</v>
      </c>
      <c r="U16">
        <v>52</v>
      </c>
      <c r="V16">
        <v>-16.45</v>
      </c>
      <c r="W16">
        <v>-14.92</v>
      </c>
      <c r="X16">
        <v>-19.07</v>
      </c>
      <c r="Y16">
        <v>-16.82</v>
      </c>
      <c r="Z16">
        <v>49.34</v>
      </c>
      <c r="AA16">
        <v>0.76</v>
      </c>
      <c r="AB16" s="6">
        <f t="shared" si="2"/>
        <v>2.1399999999999997</v>
      </c>
      <c r="AC16">
        <v>-21.4</v>
      </c>
      <c r="AD16">
        <v>-18.170000000000002</v>
      </c>
      <c r="AE16">
        <v>-10</v>
      </c>
      <c r="AF16">
        <v>-3.09</v>
      </c>
      <c r="AG16">
        <v>1721</v>
      </c>
      <c r="AH16">
        <v>1893</v>
      </c>
      <c r="AI16">
        <v>44</v>
      </c>
      <c r="AJ16">
        <v>96</v>
      </c>
      <c r="AK16">
        <v>1059</v>
      </c>
      <c r="AL16">
        <v>1880</v>
      </c>
      <c r="AM16">
        <v>2224</v>
      </c>
      <c r="AN16">
        <v>39</v>
      </c>
      <c r="AO16">
        <v>53</v>
      </c>
      <c r="AP16">
        <v>41</v>
      </c>
      <c r="AQ16">
        <v>45</v>
      </c>
      <c r="AR16">
        <v>81</v>
      </c>
      <c r="AS16">
        <v>68</v>
      </c>
      <c r="AT16">
        <v>42</v>
      </c>
      <c r="AU16">
        <v>35</v>
      </c>
      <c r="AV16">
        <v>44</v>
      </c>
      <c r="AW16">
        <v>16</v>
      </c>
      <c r="AX16">
        <v>-6</v>
      </c>
      <c r="AY16">
        <v>-10</v>
      </c>
      <c r="AZ16">
        <v>24</v>
      </c>
      <c r="BA16">
        <v>-8</v>
      </c>
      <c r="BB16">
        <v>-16</v>
      </c>
      <c r="BC16">
        <v>0.44</v>
      </c>
    </row>
    <row r="17" spans="1:55">
      <c r="A17" t="s">
        <v>44</v>
      </c>
      <c r="B17">
        <v>65</v>
      </c>
      <c r="C17">
        <v>1</v>
      </c>
      <c r="D17">
        <v>170</v>
      </c>
      <c r="E17">
        <v>60</v>
      </c>
      <c r="F17">
        <v>123</v>
      </c>
      <c r="G17">
        <v>75</v>
      </c>
      <c r="H17">
        <v>45</v>
      </c>
      <c r="I17">
        <v>13</v>
      </c>
      <c r="J17">
        <v>11</v>
      </c>
      <c r="K17" s="6">
        <f t="shared" si="0"/>
        <v>0.53333333333333333</v>
      </c>
      <c r="L17" s="6">
        <f t="shared" si="1"/>
        <v>1.1818181818181819</v>
      </c>
      <c r="M17">
        <v>112.45</v>
      </c>
      <c r="N17">
        <v>50</v>
      </c>
      <c r="O17">
        <v>74</v>
      </c>
      <c r="P17">
        <v>0.68</v>
      </c>
      <c r="Q17">
        <v>234</v>
      </c>
      <c r="R17">
        <v>10</v>
      </c>
      <c r="S17">
        <v>70</v>
      </c>
      <c r="T17">
        <v>37</v>
      </c>
      <c r="U17">
        <v>47</v>
      </c>
      <c r="V17">
        <v>-15.54</v>
      </c>
      <c r="W17">
        <v>-13.42</v>
      </c>
      <c r="X17">
        <v>-13.37</v>
      </c>
      <c r="Y17">
        <v>-14.11</v>
      </c>
      <c r="Z17">
        <v>116.25</v>
      </c>
      <c r="AA17">
        <v>1.1399999999999999</v>
      </c>
      <c r="AB17" s="6">
        <f t="shared" si="2"/>
        <v>4.6189376443418011</v>
      </c>
      <c r="AC17">
        <v>-20</v>
      </c>
      <c r="AD17">
        <v>-13.17</v>
      </c>
      <c r="AE17">
        <v>-4.33</v>
      </c>
      <c r="AF17">
        <v>-3.33</v>
      </c>
      <c r="AG17">
        <v>1223</v>
      </c>
      <c r="AH17">
        <v>1555</v>
      </c>
      <c r="AI17">
        <v>150</v>
      </c>
      <c r="AJ17">
        <v>88</v>
      </c>
      <c r="AK17">
        <v>934</v>
      </c>
      <c r="AL17">
        <v>1271</v>
      </c>
      <c r="AM17">
        <v>1464</v>
      </c>
      <c r="AN17">
        <v>37</v>
      </c>
      <c r="AO17">
        <v>50</v>
      </c>
      <c r="AP17">
        <v>33</v>
      </c>
      <c r="AQ17">
        <v>26</v>
      </c>
      <c r="AR17">
        <v>45</v>
      </c>
      <c r="AS17">
        <v>35</v>
      </c>
      <c r="AT17">
        <v>26</v>
      </c>
      <c r="AU17">
        <v>19</v>
      </c>
      <c r="AV17">
        <v>42</v>
      </c>
      <c r="AW17">
        <v>25</v>
      </c>
      <c r="AX17">
        <v>-13</v>
      </c>
      <c r="AY17">
        <v>-11</v>
      </c>
      <c r="AZ17">
        <v>16</v>
      </c>
      <c r="BA17">
        <v>-9</v>
      </c>
      <c r="BB17">
        <v>-7</v>
      </c>
      <c r="BC17">
        <v>0.4</v>
      </c>
    </row>
    <row r="18" spans="1:55">
      <c r="A18" t="s">
        <v>44</v>
      </c>
      <c r="B18">
        <v>57</v>
      </c>
      <c r="C18">
        <v>1</v>
      </c>
      <c r="D18">
        <v>171</v>
      </c>
      <c r="E18">
        <v>52</v>
      </c>
      <c r="F18">
        <v>108</v>
      </c>
      <c r="G18">
        <v>87</v>
      </c>
      <c r="H18">
        <v>39</v>
      </c>
      <c r="I18">
        <v>14</v>
      </c>
      <c r="J18">
        <v>11</v>
      </c>
      <c r="K18" s="6">
        <f t="shared" si="0"/>
        <v>0.64102564102564108</v>
      </c>
      <c r="L18" s="6">
        <f t="shared" si="1"/>
        <v>1.2727272727272727</v>
      </c>
      <c r="M18">
        <v>86.49</v>
      </c>
      <c r="S18">
        <v>49</v>
      </c>
      <c r="T18">
        <v>28</v>
      </c>
      <c r="U18">
        <v>43</v>
      </c>
      <c r="V18">
        <v>-12.96</v>
      </c>
      <c r="W18">
        <v>-12.88</v>
      </c>
      <c r="X18">
        <v>-14.14</v>
      </c>
      <c r="Y18">
        <v>-13.33</v>
      </c>
      <c r="Z18">
        <v>64.08</v>
      </c>
      <c r="AA18">
        <v>0.69</v>
      </c>
      <c r="AB18" s="6">
        <f t="shared" si="2"/>
        <v>1.7555555555555555</v>
      </c>
      <c r="AC18">
        <v>-15.8</v>
      </c>
      <c r="AD18">
        <v>-13.83</v>
      </c>
      <c r="AE18">
        <v>-9</v>
      </c>
      <c r="AF18">
        <v>-3.23</v>
      </c>
      <c r="AG18">
        <v>832</v>
      </c>
      <c r="AH18">
        <v>876</v>
      </c>
      <c r="AI18">
        <v>73</v>
      </c>
      <c r="AJ18">
        <v>91</v>
      </c>
      <c r="AK18">
        <v>678</v>
      </c>
      <c r="AL18">
        <v>817</v>
      </c>
      <c r="AM18">
        <v>1000</v>
      </c>
      <c r="AN18">
        <v>26</v>
      </c>
      <c r="AO18">
        <v>37</v>
      </c>
      <c r="AP18">
        <v>30</v>
      </c>
      <c r="AQ18">
        <v>13</v>
      </c>
      <c r="AR18">
        <v>26</v>
      </c>
      <c r="AS18">
        <v>24</v>
      </c>
      <c r="AT18">
        <v>16</v>
      </c>
      <c r="AU18">
        <v>13</v>
      </c>
      <c r="AV18">
        <v>52</v>
      </c>
      <c r="AW18">
        <v>10</v>
      </c>
      <c r="AX18">
        <v>-2</v>
      </c>
      <c r="AY18">
        <v>-7</v>
      </c>
      <c r="AZ18">
        <v>25</v>
      </c>
      <c r="BA18">
        <v>-5</v>
      </c>
      <c r="BB18">
        <v>-20</v>
      </c>
    </row>
    <row r="19" spans="1:55">
      <c r="A19" t="s">
        <v>44</v>
      </c>
      <c r="B19">
        <v>58</v>
      </c>
      <c r="C19">
        <v>1</v>
      </c>
      <c r="D19">
        <v>177</v>
      </c>
      <c r="E19">
        <v>69</v>
      </c>
      <c r="F19">
        <v>86</v>
      </c>
      <c r="G19">
        <v>57</v>
      </c>
      <c r="H19">
        <v>35</v>
      </c>
      <c r="I19">
        <v>20</v>
      </c>
      <c r="J19">
        <v>15</v>
      </c>
      <c r="K19" s="6">
        <f t="shared" si="0"/>
        <v>1</v>
      </c>
      <c r="L19" s="6">
        <f t="shared" si="1"/>
        <v>1.3333333333333333</v>
      </c>
      <c r="M19">
        <v>126.94</v>
      </c>
      <c r="N19">
        <v>74</v>
      </c>
      <c r="O19">
        <v>95</v>
      </c>
      <c r="P19">
        <v>0.78</v>
      </c>
      <c r="Q19">
        <v>190</v>
      </c>
      <c r="R19">
        <v>21.1</v>
      </c>
      <c r="S19">
        <v>40</v>
      </c>
      <c r="T19">
        <v>17</v>
      </c>
      <c r="U19">
        <v>57</v>
      </c>
      <c r="V19">
        <v>-7.79</v>
      </c>
      <c r="W19">
        <v>-5.93</v>
      </c>
      <c r="X19">
        <v>-6.97</v>
      </c>
      <c r="Y19">
        <v>-6.9</v>
      </c>
      <c r="Z19">
        <v>96.68</v>
      </c>
      <c r="AA19">
        <v>0.91</v>
      </c>
      <c r="AB19" s="6">
        <f t="shared" si="2"/>
        <v>2.561307901907357</v>
      </c>
      <c r="AC19">
        <v>-9.4</v>
      </c>
      <c r="AD19">
        <v>-6.67</v>
      </c>
      <c r="AE19">
        <v>-3.67</v>
      </c>
      <c r="AF19">
        <v>-8.26</v>
      </c>
      <c r="AG19">
        <v>614</v>
      </c>
      <c r="AH19">
        <v>722</v>
      </c>
      <c r="AI19">
        <v>127</v>
      </c>
      <c r="AJ19">
        <v>84</v>
      </c>
      <c r="AK19">
        <v>372</v>
      </c>
      <c r="AL19">
        <v>412</v>
      </c>
      <c r="AM19">
        <v>874</v>
      </c>
      <c r="AN19">
        <v>42</v>
      </c>
      <c r="AO19">
        <v>55</v>
      </c>
      <c r="AP19">
        <v>35</v>
      </c>
      <c r="AQ19">
        <v>26</v>
      </c>
      <c r="AR19">
        <v>32</v>
      </c>
      <c r="AS19">
        <v>28</v>
      </c>
      <c r="AT19">
        <v>17</v>
      </c>
      <c r="AU19">
        <v>6</v>
      </c>
      <c r="AV19">
        <v>20</v>
      </c>
      <c r="AW19">
        <v>4</v>
      </c>
      <c r="AX19">
        <v>-4</v>
      </c>
      <c r="AY19">
        <v>1</v>
      </c>
      <c r="AZ19">
        <v>9</v>
      </c>
      <c r="BA19">
        <v>-5</v>
      </c>
      <c r="BB19">
        <v>-4</v>
      </c>
      <c r="BC19">
        <v>5.28</v>
      </c>
    </row>
    <row r="20" spans="1:55" ht="14.15">
      <c r="A20" t="s">
        <v>44</v>
      </c>
      <c r="B20" s="1">
        <v>81</v>
      </c>
      <c r="C20" s="1">
        <v>1</v>
      </c>
      <c r="D20" s="1">
        <v>170</v>
      </c>
      <c r="E20" s="1">
        <v>60</v>
      </c>
      <c r="F20" s="1">
        <v>110</v>
      </c>
      <c r="G20" s="1">
        <v>64</v>
      </c>
      <c r="H20" s="1">
        <v>48</v>
      </c>
      <c r="I20" s="1">
        <v>15</v>
      </c>
      <c r="J20" s="1">
        <v>14</v>
      </c>
      <c r="K20" s="6">
        <f t="shared" si="0"/>
        <v>0.60416666666666663</v>
      </c>
      <c r="L20" s="6">
        <f t="shared" si="1"/>
        <v>1.0714285714285714</v>
      </c>
      <c r="M20" s="1">
        <v>163.54</v>
      </c>
      <c r="N20" s="1">
        <v>69</v>
      </c>
      <c r="O20" s="1">
        <v>61</v>
      </c>
      <c r="P20" s="1">
        <v>1.1399999999999999</v>
      </c>
      <c r="Q20" s="1">
        <v>311</v>
      </c>
      <c r="R20" s="1">
        <v>12.5</v>
      </c>
      <c r="S20" s="1">
        <v>85</v>
      </c>
      <c r="T20" s="1">
        <v>44</v>
      </c>
      <c r="U20" s="1">
        <v>48</v>
      </c>
      <c r="V20" s="1">
        <v>-13.57</v>
      </c>
      <c r="W20" s="1">
        <v>-13.7</v>
      </c>
      <c r="X20" s="1">
        <v>-14.43</v>
      </c>
      <c r="Y20" s="1">
        <v>-13.9</v>
      </c>
      <c r="Z20" s="1">
        <v>75.73</v>
      </c>
      <c r="AA20" s="2">
        <v>0.87</v>
      </c>
      <c r="AB20" s="6">
        <f t="shared" si="2"/>
        <v>2.9142857142857141</v>
      </c>
      <c r="AC20" s="2">
        <v>-20.399999999999999</v>
      </c>
      <c r="AD20" s="1">
        <v>-16.329999999999998</v>
      </c>
      <c r="AE20" s="1">
        <v>-7</v>
      </c>
      <c r="AF20" s="1">
        <v>-3.45</v>
      </c>
      <c r="AG20" s="1">
        <v>1252</v>
      </c>
      <c r="AH20" s="1">
        <v>1431</v>
      </c>
      <c r="AI20" s="1">
        <v>105</v>
      </c>
      <c r="AJ20" s="1">
        <v>92</v>
      </c>
      <c r="AK20" s="1">
        <v>821</v>
      </c>
      <c r="AL20" s="1">
        <v>1410</v>
      </c>
      <c r="AM20" s="1">
        <v>1525</v>
      </c>
      <c r="AN20" s="1">
        <v>37</v>
      </c>
      <c r="AO20" s="1">
        <v>45</v>
      </c>
      <c r="AP20" s="1">
        <v>33</v>
      </c>
      <c r="AQ20" s="1">
        <v>38</v>
      </c>
      <c r="AR20" s="1">
        <v>53</v>
      </c>
      <c r="AS20" s="1">
        <v>46</v>
      </c>
      <c r="AT20" s="1">
        <v>31</v>
      </c>
      <c r="AU20" s="1">
        <v>15</v>
      </c>
      <c r="AV20" s="1">
        <v>28</v>
      </c>
      <c r="AW20" s="1">
        <v>9</v>
      </c>
      <c r="AX20" s="1">
        <v>-5</v>
      </c>
      <c r="AY20" s="1">
        <v>-4</v>
      </c>
      <c r="AZ20" s="1">
        <v>9</v>
      </c>
      <c r="BA20" s="1">
        <v>-4</v>
      </c>
      <c r="BB20" s="1">
        <v>-5</v>
      </c>
      <c r="BC20" s="3">
        <v>1.56</v>
      </c>
    </row>
    <row r="21" spans="1:55">
      <c r="A21" t="s">
        <v>44</v>
      </c>
      <c r="B21">
        <v>45</v>
      </c>
      <c r="C21">
        <v>2</v>
      </c>
      <c r="D21">
        <v>164</v>
      </c>
      <c r="E21">
        <v>55</v>
      </c>
      <c r="F21">
        <v>115</v>
      </c>
      <c r="G21">
        <v>82</v>
      </c>
      <c r="H21">
        <v>50</v>
      </c>
      <c r="I21">
        <v>12</v>
      </c>
      <c r="J21">
        <v>11</v>
      </c>
      <c r="K21" s="6">
        <f>(I21+J21)/H21</f>
        <v>0.46</v>
      </c>
      <c r="L21" s="6">
        <f>I21/J21</f>
        <v>1.0909090909090908</v>
      </c>
      <c r="M21">
        <v>128.53</v>
      </c>
      <c r="N21">
        <v>55</v>
      </c>
      <c r="O21">
        <v>79</v>
      </c>
      <c r="P21">
        <v>0.69</v>
      </c>
      <c r="Q21">
        <v>226</v>
      </c>
      <c r="R21">
        <v>10</v>
      </c>
      <c r="S21">
        <v>67</v>
      </c>
      <c r="T21">
        <v>32</v>
      </c>
      <c r="U21">
        <v>52</v>
      </c>
      <c r="V21">
        <v>-16.420000000000002</v>
      </c>
      <c r="W21">
        <v>-16.79</v>
      </c>
      <c r="X21">
        <v>-15.82</v>
      </c>
      <c r="Y21">
        <v>-16.34</v>
      </c>
      <c r="Z21">
        <v>63.89</v>
      </c>
      <c r="AA21">
        <v>0.67</v>
      </c>
      <c r="AB21" s="6">
        <f>AC21/AE21</f>
        <v>1.5337889141989369</v>
      </c>
      <c r="AC21">
        <v>-20.2</v>
      </c>
      <c r="AD21">
        <v>-16.829999999999998</v>
      </c>
      <c r="AE21">
        <v>-13.17</v>
      </c>
      <c r="AF21">
        <v>-3.18</v>
      </c>
      <c r="AG21">
        <v>1638</v>
      </c>
      <c r="AH21">
        <v>1845</v>
      </c>
      <c r="AI21">
        <v>116</v>
      </c>
      <c r="AJ21">
        <v>94</v>
      </c>
      <c r="AK21">
        <v>1562</v>
      </c>
      <c r="AL21">
        <v>1559</v>
      </c>
      <c r="AM21">
        <v>1793</v>
      </c>
      <c r="AN21">
        <v>26</v>
      </c>
      <c r="AO21">
        <v>34</v>
      </c>
      <c r="AP21">
        <v>37</v>
      </c>
      <c r="AQ21">
        <v>20</v>
      </c>
      <c r="AR21">
        <v>40</v>
      </c>
      <c r="AS21">
        <v>33</v>
      </c>
      <c r="AT21">
        <v>25</v>
      </c>
      <c r="AU21">
        <v>19</v>
      </c>
      <c r="AV21">
        <v>49</v>
      </c>
      <c r="AW21">
        <v>23</v>
      </c>
      <c r="AX21">
        <v>-9</v>
      </c>
      <c r="AY21">
        <v>-14</v>
      </c>
      <c r="AZ21">
        <v>23</v>
      </c>
      <c r="BA21">
        <v>-5</v>
      </c>
      <c r="BB21">
        <v>-17</v>
      </c>
      <c r="BC21">
        <v>0.43</v>
      </c>
    </row>
    <row r="22" spans="1:55">
      <c r="A22" t="s">
        <v>44</v>
      </c>
      <c r="B22">
        <v>76</v>
      </c>
      <c r="C22">
        <v>1</v>
      </c>
      <c r="D22">
        <v>165</v>
      </c>
      <c r="E22">
        <v>53</v>
      </c>
      <c r="F22">
        <v>116</v>
      </c>
      <c r="G22">
        <v>71</v>
      </c>
      <c r="H22">
        <v>46</v>
      </c>
      <c r="I22">
        <v>12</v>
      </c>
      <c r="J22">
        <v>10</v>
      </c>
      <c r="K22" s="6">
        <f>(I22+J22)/H22</f>
        <v>0.47826086956521741</v>
      </c>
      <c r="L22" s="6">
        <f>I22/J22</f>
        <v>1.2</v>
      </c>
      <c r="M22">
        <v>115.68</v>
      </c>
      <c r="N22">
        <v>93</v>
      </c>
      <c r="O22">
        <v>127</v>
      </c>
      <c r="P22">
        <v>0.74</v>
      </c>
      <c r="Q22">
        <v>159</v>
      </c>
      <c r="R22">
        <v>14.31</v>
      </c>
      <c r="S22">
        <v>80</v>
      </c>
      <c r="T22">
        <v>31</v>
      </c>
      <c r="U22">
        <v>62</v>
      </c>
      <c r="V22">
        <v>-13.81</v>
      </c>
      <c r="W22">
        <v>-16.27</v>
      </c>
      <c r="X22">
        <v>-15.37</v>
      </c>
      <c r="Y22">
        <v>-15.15</v>
      </c>
      <c r="Z22">
        <v>66.150000000000006</v>
      </c>
      <c r="AA22">
        <v>0.67</v>
      </c>
      <c r="AB22" s="6">
        <f>AC22/AE22</f>
        <v>1.6251154201292706</v>
      </c>
      <c r="AC22">
        <v>-17.600000000000001</v>
      </c>
      <c r="AD22">
        <v>-15.5</v>
      </c>
      <c r="AE22">
        <v>-10.83</v>
      </c>
      <c r="AF22">
        <v>-4.09</v>
      </c>
      <c r="AG22">
        <v>1525</v>
      </c>
      <c r="AH22">
        <v>1667</v>
      </c>
      <c r="AI22">
        <v>89</v>
      </c>
      <c r="AJ22">
        <v>93</v>
      </c>
      <c r="AK22">
        <v>1141</v>
      </c>
      <c r="AL22">
        <v>1548</v>
      </c>
      <c r="AM22">
        <v>1887</v>
      </c>
      <c r="AN22">
        <v>36</v>
      </c>
      <c r="AO22">
        <v>51</v>
      </c>
      <c r="AP22">
        <v>38</v>
      </c>
      <c r="AQ22">
        <v>32</v>
      </c>
      <c r="AR22">
        <v>66</v>
      </c>
      <c r="AS22">
        <v>54</v>
      </c>
      <c r="AT22">
        <v>42</v>
      </c>
      <c r="AU22">
        <v>34</v>
      </c>
      <c r="AV22">
        <v>51</v>
      </c>
      <c r="AW22">
        <v>20</v>
      </c>
      <c r="AX22">
        <v>-7</v>
      </c>
      <c r="AY22">
        <v>-12</v>
      </c>
      <c r="AZ22">
        <v>28</v>
      </c>
      <c r="BA22">
        <v>-7</v>
      </c>
      <c r="BB22">
        <v>-20</v>
      </c>
      <c r="BC22">
        <v>0.72</v>
      </c>
    </row>
    <row r="23" spans="1:55">
      <c r="A23" t="s">
        <v>44</v>
      </c>
      <c r="B23">
        <v>54</v>
      </c>
      <c r="C23">
        <v>2</v>
      </c>
      <c r="D23">
        <v>157</v>
      </c>
      <c r="E23">
        <v>52</v>
      </c>
      <c r="F23">
        <v>147</v>
      </c>
      <c r="G23">
        <v>81</v>
      </c>
      <c r="H23">
        <v>48</v>
      </c>
      <c r="I23">
        <v>12</v>
      </c>
      <c r="J23">
        <v>10</v>
      </c>
      <c r="K23" s="6">
        <f>(I23+J23)/H23</f>
        <v>0.45833333333333331</v>
      </c>
      <c r="L23" s="6">
        <f>I23/J23</f>
        <v>1.2</v>
      </c>
      <c r="M23">
        <v>125.14</v>
      </c>
      <c r="N23">
        <v>110</v>
      </c>
      <c r="O23">
        <v>83</v>
      </c>
      <c r="P23">
        <v>1.32</v>
      </c>
      <c r="Q23">
        <v>270</v>
      </c>
      <c r="R23">
        <v>19.3</v>
      </c>
      <c r="S23">
        <v>69</v>
      </c>
      <c r="T23">
        <v>26</v>
      </c>
      <c r="U23">
        <v>63</v>
      </c>
      <c r="V23">
        <v>-18.190000000000001</v>
      </c>
      <c r="W23">
        <v>-16.239999999999998</v>
      </c>
      <c r="X23">
        <v>-17.38</v>
      </c>
      <c r="Y23">
        <v>-17.27</v>
      </c>
      <c r="Z23">
        <v>48.23</v>
      </c>
      <c r="AA23">
        <v>0.48</v>
      </c>
      <c r="AB23" s="6">
        <f>AC23/AE23</f>
        <v>1</v>
      </c>
      <c r="AC23">
        <v>-15.83</v>
      </c>
      <c r="AD23">
        <v>-16.829999999999998</v>
      </c>
      <c r="AE23">
        <v>-15.83</v>
      </c>
      <c r="AF23">
        <v>-3.65</v>
      </c>
      <c r="AG23">
        <v>2339</v>
      </c>
      <c r="AH23">
        <v>2418</v>
      </c>
      <c r="AI23">
        <v>87</v>
      </c>
      <c r="AJ23">
        <v>96</v>
      </c>
      <c r="AK23">
        <v>2149</v>
      </c>
      <c r="AL23">
        <v>2216</v>
      </c>
      <c r="AM23">
        <v>2653</v>
      </c>
      <c r="AN23">
        <v>38</v>
      </c>
      <c r="AO23">
        <v>54</v>
      </c>
      <c r="AP23">
        <v>37</v>
      </c>
      <c r="AQ23">
        <v>26</v>
      </c>
      <c r="AR23">
        <v>60</v>
      </c>
      <c r="AS23">
        <v>43</v>
      </c>
      <c r="AT23">
        <v>40</v>
      </c>
      <c r="AU23">
        <v>34</v>
      </c>
      <c r="AV23">
        <v>57</v>
      </c>
      <c r="AW23">
        <v>22</v>
      </c>
      <c r="AX23">
        <v>-13</v>
      </c>
      <c r="AY23">
        <v>-9</v>
      </c>
      <c r="AZ23">
        <v>35</v>
      </c>
      <c r="BA23">
        <v>-15</v>
      </c>
      <c r="BB23">
        <v>-21</v>
      </c>
      <c r="BC23">
        <v>0.88</v>
      </c>
    </row>
    <row r="24" spans="1:55" s="7" customFormat="1">
      <c r="A24" t="s">
        <v>44</v>
      </c>
      <c r="B24">
        <v>74</v>
      </c>
      <c r="C24">
        <v>2</v>
      </c>
      <c r="D24">
        <v>152</v>
      </c>
      <c r="E24">
        <v>39</v>
      </c>
      <c r="F24">
        <v>110</v>
      </c>
      <c r="G24">
        <v>80</v>
      </c>
      <c r="H24">
        <v>36</v>
      </c>
      <c r="I24">
        <v>15</v>
      </c>
      <c r="J24">
        <v>11</v>
      </c>
      <c r="K24" s="6">
        <f>(I24+J24)/H24</f>
        <v>0.72222222222222221</v>
      </c>
      <c r="L24" s="6">
        <f>I24/J24</f>
        <v>1.3636363636363635</v>
      </c>
      <c r="M24">
        <v>138.28</v>
      </c>
      <c r="N24">
        <v>60</v>
      </c>
      <c r="O24">
        <v>89</v>
      </c>
      <c r="P24">
        <v>0.68</v>
      </c>
      <c r="Q24">
        <v>242</v>
      </c>
      <c r="R24">
        <v>13.3</v>
      </c>
      <c r="S24">
        <v>46</v>
      </c>
      <c r="T24">
        <v>21</v>
      </c>
      <c r="U24">
        <v>55</v>
      </c>
      <c r="V24">
        <v>-16.86</v>
      </c>
      <c r="W24">
        <v>-14.69</v>
      </c>
      <c r="X24">
        <v>-14.8</v>
      </c>
      <c r="Y24">
        <v>-15.45</v>
      </c>
      <c r="Z24">
        <v>60.14</v>
      </c>
      <c r="AA24" s="4">
        <f t="shared" ref="AA24" si="3">AC24/(AD24+AE24)</f>
        <v>0.67368421052631577</v>
      </c>
      <c r="AB24" s="6">
        <f>AC24/AE24</f>
        <v>1.6229923922231613</v>
      </c>
      <c r="AC24">
        <v>-19.2</v>
      </c>
      <c r="AD24">
        <v>-16.670000000000002</v>
      </c>
      <c r="AE24">
        <v>-11.83</v>
      </c>
      <c r="AF24" s="8">
        <f>U24/Y24</f>
        <v>-3.5598705501618126</v>
      </c>
      <c r="AG24">
        <v>1528</v>
      </c>
      <c r="AH24">
        <v>1578</v>
      </c>
      <c r="AI24">
        <v>61</v>
      </c>
      <c r="AJ24">
        <v>96</v>
      </c>
      <c r="AK24">
        <v>1185</v>
      </c>
      <c r="AL24">
        <v>1653</v>
      </c>
      <c r="AM24">
        <v>1744</v>
      </c>
      <c r="AN24" s="7">
        <v>35</v>
      </c>
      <c r="AO24" s="7">
        <v>49</v>
      </c>
      <c r="AP24" s="7">
        <v>38</v>
      </c>
      <c r="AQ24" s="7">
        <v>36</v>
      </c>
      <c r="AR24" s="7">
        <v>51</v>
      </c>
      <c r="AS24" s="7">
        <v>43</v>
      </c>
      <c r="AT24" s="7">
        <v>39</v>
      </c>
      <c r="AU24" s="7">
        <v>15</v>
      </c>
      <c r="AV24" s="7">
        <v>30</v>
      </c>
      <c r="AW24" s="7">
        <v>10</v>
      </c>
      <c r="AX24" s="7">
        <v>-6</v>
      </c>
      <c r="AY24" s="7">
        <v>-4</v>
      </c>
      <c r="AZ24" s="7">
        <v>14</v>
      </c>
      <c r="BA24" s="7">
        <v>-6</v>
      </c>
      <c r="BB24" s="7">
        <v>-8</v>
      </c>
      <c r="BC24" s="7">
        <v>1.33</v>
      </c>
    </row>
    <row r="25" spans="1:55">
      <c r="A25" t="s">
        <v>45</v>
      </c>
      <c r="B25">
        <v>58</v>
      </c>
      <c r="C25">
        <v>1</v>
      </c>
      <c r="D25">
        <v>172</v>
      </c>
      <c r="E25">
        <v>56</v>
      </c>
      <c r="F25">
        <v>119</v>
      </c>
      <c r="G25">
        <v>72</v>
      </c>
      <c r="H25">
        <v>42</v>
      </c>
      <c r="I25">
        <v>16</v>
      </c>
      <c r="J25">
        <v>15</v>
      </c>
      <c r="K25" s="6">
        <f t="shared" si="0"/>
        <v>0.73809523809523814</v>
      </c>
      <c r="L25" s="6">
        <f t="shared" si="1"/>
        <v>1.0666666666666667</v>
      </c>
      <c r="M25">
        <v>166.83</v>
      </c>
      <c r="N25">
        <v>57</v>
      </c>
      <c r="O25">
        <v>47</v>
      </c>
      <c r="P25">
        <v>1.2</v>
      </c>
      <c r="Q25">
        <v>317</v>
      </c>
      <c r="R25">
        <v>12.7</v>
      </c>
      <c r="S25">
        <v>100</v>
      </c>
      <c r="T25">
        <v>50</v>
      </c>
      <c r="U25">
        <v>50</v>
      </c>
      <c r="V25">
        <v>-8.42</v>
      </c>
      <c r="W25">
        <v>-8.08</v>
      </c>
      <c r="X25">
        <v>-7.43</v>
      </c>
      <c r="Y25">
        <v>-7.98</v>
      </c>
      <c r="Z25">
        <v>82.68</v>
      </c>
      <c r="AA25">
        <v>0.62</v>
      </c>
      <c r="AB25" s="6">
        <f t="shared" si="2"/>
        <v>1.2285714285714284</v>
      </c>
      <c r="AC25">
        <v>-8.6</v>
      </c>
      <c r="AD25">
        <v>-6.8</v>
      </c>
      <c r="AE25">
        <v>-7</v>
      </c>
      <c r="AF25">
        <v>-6.27</v>
      </c>
      <c r="AG25">
        <v>645</v>
      </c>
      <c r="AH25">
        <v>675</v>
      </c>
      <c r="AI25">
        <v>53</v>
      </c>
      <c r="AJ25">
        <v>90</v>
      </c>
      <c r="AK25">
        <v>579</v>
      </c>
      <c r="AL25">
        <v>530</v>
      </c>
      <c r="AM25">
        <v>857</v>
      </c>
      <c r="AN25">
        <v>42</v>
      </c>
      <c r="AO25">
        <v>65</v>
      </c>
      <c r="AP25">
        <v>52</v>
      </c>
    </row>
    <row r="26" spans="1:55">
      <c r="A26" t="s">
        <v>45</v>
      </c>
      <c r="B26">
        <v>50</v>
      </c>
      <c r="C26">
        <v>1</v>
      </c>
      <c r="D26">
        <v>160</v>
      </c>
      <c r="E26">
        <v>54</v>
      </c>
      <c r="F26">
        <v>83</v>
      </c>
      <c r="G26">
        <v>56</v>
      </c>
      <c r="H26">
        <v>38</v>
      </c>
      <c r="I26">
        <v>13</v>
      </c>
      <c r="J26">
        <v>12</v>
      </c>
      <c r="K26" s="6">
        <f t="shared" si="0"/>
        <v>0.65789473684210531</v>
      </c>
      <c r="L26" s="6">
        <f t="shared" si="1"/>
        <v>1.0833333333333333</v>
      </c>
      <c r="M26">
        <v>100.4</v>
      </c>
      <c r="N26">
        <v>67</v>
      </c>
      <c r="O26">
        <v>94</v>
      </c>
      <c r="P26">
        <v>0.7</v>
      </c>
      <c r="Q26">
        <v>208</v>
      </c>
      <c r="R26">
        <v>11.2</v>
      </c>
      <c r="S26">
        <v>66</v>
      </c>
      <c r="T26">
        <v>32</v>
      </c>
      <c r="U26">
        <v>52</v>
      </c>
      <c r="V26">
        <v>-14.3</v>
      </c>
      <c r="W26">
        <v>-12.85</v>
      </c>
      <c r="X26">
        <v>-16.57</v>
      </c>
      <c r="Y26">
        <v>-14.57</v>
      </c>
      <c r="Z26">
        <v>48.72</v>
      </c>
      <c r="AA26">
        <v>0.77</v>
      </c>
      <c r="AB26" s="6">
        <f t="shared" si="2"/>
        <v>1.7367949865711727</v>
      </c>
      <c r="AC26">
        <v>-19.399999999999999</v>
      </c>
      <c r="AD26">
        <v>-14</v>
      </c>
      <c r="AE26">
        <v>-11.17</v>
      </c>
      <c r="AF26">
        <v>-3.57</v>
      </c>
      <c r="AG26">
        <v>1412</v>
      </c>
      <c r="AH26">
        <v>1635</v>
      </c>
      <c r="AI26">
        <v>82</v>
      </c>
      <c r="AJ26">
        <v>94</v>
      </c>
      <c r="AK26">
        <v>1155</v>
      </c>
      <c r="AL26">
        <v>1352</v>
      </c>
      <c r="AM26">
        <v>1729</v>
      </c>
      <c r="AN26">
        <v>35</v>
      </c>
      <c r="AO26">
        <v>43</v>
      </c>
      <c r="AP26">
        <v>31</v>
      </c>
      <c r="AQ26">
        <v>16</v>
      </c>
      <c r="AR26">
        <v>35</v>
      </c>
      <c r="AS26">
        <v>30</v>
      </c>
      <c r="AT26">
        <v>23</v>
      </c>
      <c r="AU26">
        <v>19</v>
      </c>
      <c r="AV26">
        <v>54</v>
      </c>
      <c r="AW26">
        <v>14</v>
      </c>
      <c r="AX26">
        <v>-6</v>
      </c>
      <c r="AY26">
        <v>-8</v>
      </c>
      <c r="AZ26">
        <v>23</v>
      </c>
      <c r="BA26">
        <v>-7</v>
      </c>
      <c r="BB26">
        <v>-16</v>
      </c>
      <c r="BC26">
        <v>0.8</v>
      </c>
    </row>
    <row r="27" spans="1:55">
      <c r="A27" t="s">
        <v>45</v>
      </c>
      <c r="B27">
        <v>64</v>
      </c>
      <c r="C27">
        <v>2</v>
      </c>
      <c r="D27">
        <v>150</v>
      </c>
      <c r="E27">
        <v>50</v>
      </c>
      <c r="F27">
        <v>77</v>
      </c>
      <c r="G27">
        <v>45</v>
      </c>
      <c r="H27">
        <v>42</v>
      </c>
      <c r="I27">
        <v>13</v>
      </c>
      <c r="J27">
        <v>12</v>
      </c>
      <c r="K27" s="6">
        <f t="shared" si="0"/>
        <v>0.59523809523809523</v>
      </c>
      <c r="L27" s="6">
        <f t="shared" si="1"/>
        <v>1.0833333333333333</v>
      </c>
      <c r="M27">
        <v>127.51</v>
      </c>
      <c r="N27">
        <v>87</v>
      </c>
      <c r="O27">
        <v>74</v>
      </c>
      <c r="P27">
        <v>1.18</v>
      </c>
      <c r="Q27">
        <v>204</v>
      </c>
      <c r="R27">
        <v>21.8</v>
      </c>
      <c r="S27">
        <v>56</v>
      </c>
      <c r="T27">
        <v>29</v>
      </c>
      <c r="U27">
        <v>48</v>
      </c>
      <c r="V27">
        <v>-12.4</v>
      </c>
      <c r="W27">
        <v>-11.42</v>
      </c>
      <c r="X27">
        <v>-9.85</v>
      </c>
      <c r="Y27">
        <v>-11.23</v>
      </c>
      <c r="Z27">
        <v>97.49</v>
      </c>
      <c r="AA27">
        <v>0.94</v>
      </c>
      <c r="AB27" s="6">
        <f t="shared" si="2"/>
        <v>3.2270168855534709</v>
      </c>
      <c r="AC27">
        <v>-17.2</v>
      </c>
      <c r="AD27">
        <v>-13</v>
      </c>
      <c r="AE27">
        <v>-5.33</v>
      </c>
      <c r="AF27">
        <v>-4.2699999999999996</v>
      </c>
      <c r="AG27">
        <v>920</v>
      </c>
      <c r="AH27">
        <v>1014</v>
      </c>
      <c r="AI27">
        <v>72</v>
      </c>
      <c r="AJ27">
        <v>88</v>
      </c>
      <c r="AK27">
        <v>424</v>
      </c>
      <c r="AL27">
        <v>1020</v>
      </c>
      <c r="AM27">
        <v>1318</v>
      </c>
      <c r="AN27">
        <v>34</v>
      </c>
      <c r="AO27">
        <v>47</v>
      </c>
      <c r="AP27">
        <v>36</v>
      </c>
      <c r="AQ27">
        <v>39</v>
      </c>
      <c r="AR27">
        <v>51</v>
      </c>
      <c r="AS27">
        <v>43</v>
      </c>
      <c r="AT27">
        <v>34</v>
      </c>
      <c r="AU27">
        <v>12</v>
      </c>
      <c r="AV27">
        <v>23</v>
      </c>
      <c r="AW27">
        <v>8</v>
      </c>
      <c r="AX27">
        <v>-6</v>
      </c>
      <c r="AY27">
        <v>-2</v>
      </c>
      <c r="AZ27">
        <v>9</v>
      </c>
      <c r="BA27">
        <v>-6</v>
      </c>
      <c r="BB27">
        <v>-3</v>
      </c>
      <c r="BC27">
        <v>2.73</v>
      </c>
    </row>
    <row r="28" spans="1:55">
      <c r="A28" t="s">
        <v>45</v>
      </c>
      <c r="B28">
        <v>59</v>
      </c>
      <c r="C28">
        <v>2</v>
      </c>
      <c r="D28">
        <v>166</v>
      </c>
      <c r="E28">
        <v>60</v>
      </c>
      <c r="F28">
        <v>91</v>
      </c>
      <c r="G28">
        <v>60</v>
      </c>
      <c r="H28">
        <v>36</v>
      </c>
      <c r="I28">
        <v>14</v>
      </c>
      <c r="J28">
        <v>14</v>
      </c>
      <c r="K28" s="6">
        <f t="shared" si="0"/>
        <v>0.77777777777777779</v>
      </c>
      <c r="L28" s="6">
        <f t="shared" si="1"/>
        <v>1</v>
      </c>
      <c r="M28">
        <v>134.12</v>
      </c>
      <c r="S28">
        <v>53</v>
      </c>
      <c r="T28">
        <v>30</v>
      </c>
      <c r="U28">
        <v>42</v>
      </c>
      <c r="V28">
        <v>-6.42</v>
      </c>
      <c r="W28">
        <v>-9.0299999999999994</v>
      </c>
      <c r="X28">
        <v>-11.79</v>
      </c>
      <c r="Y28">
        <v>-9.08</v>
      </c>
      <c r="Z28">
        <v>128.51</v>
      </c>
      <c r="AA28">
        <v>1.85</v>
      </c>
      <c r="AB28" s="6">
        <f t="shared" si="2"/>
        <v>-7.2</v>
      </c>
      <c r="AC28">
        <v>-14.4</v>
      </c>
      <c r="AD28">
        <v>-9.8000000000000007</v>
      </c>
      <c r="AE28">
        <v>2</v>
      </c>
      <c r="AF28">
        <v>-4.63</v>
      </c>
      <c r="AG28">
        <v>457</v>
      </c>
      <c r="AH28">
        <v>566</v>
      </c>
      <c r="AI28">
        <v>56</v>
      </c>
      <c r="AJ28">
        <v>86</v>
      </c>
      <c r="AK28">
        <v>194</v>
      </c>
      <c r="AL28">
        <v>483</v>
      </c>
      <c r="AM28">
        <v>694</v>
      </c>
      <c r="AN28">
        <v>47</v>
      </c>
      <c r="AO28">
        <v>59</v>
      </c>
      <c r="AP28">
        <v>51</v>
      </c>
      <c r="AQ28">
        <v>60</v>
      </c>
      <c r="AR28">
        <v>71</v>
      </c>
      <c r="AS28">
        <v>66</v>
      </c>
      <c r="AT28">
        <v>43</v>
      </c>
      <c r="AU28">
        <v>12</v>
      </c>
      <c r="AV28">
        <v>16</v>
      </c>
      <c r="AW28">
        <v>3</v>
      </c>
      <c r="AX28">
        <v>-3</v>
      </c>
      <c r="AY28">
        <v>0</v>
      </c>
      <c r="AZ28">
        <v>3</v>
      </c>
      <c r="BA28">
        <v>-3</v>
      </c>
      <c r="BB28">
        <v>0</v>
      </c>
    </row>
    <row r="29" spans="1:55">
      <c r="A29" t="s">
        <v>45</v>
      </c>
      <c r="B29">
        <v>71</v>
      </c>
      <c r="C29">
        <v>1</v>
      </c>
      <c r="D29">
        <v>160</v>
      </c>
      <c r="E29">
        <v>40</v>
      </c>
      <c r="F29">
        <v>83</v>
      </c>
      <c r="G29">
        <v>61</v>
      </c>
      <c r="H29">
        <v>45</v>
      </c>
      <c r="I29">
        <v>17</v>
      </c>
      <c r="J29">
        <v>13</v>
      </c>
      <c r="K29" s="6">
        <f t="shared" si="0"/>
        <v>0.66666666666666663</v>
      </c>
      <c r="L29" s="6">
        <f t="shared" si="1"/>
        <v>1.3076923076923077</v>
      </c>
      <c r="M29">
        <v>199.37</v>
      </c>
      <c r="N29">
        <v>63</v>
      </c>
      <c r="O29">
        <v>105</v>
      </c>
      <c r="P29">
        <v>0.6</v>
      </c>
      <c r="Q29">
        <v>162</v>
      </c>
      <c r="R29">
        <v>18</v>
      </c>
      <c r="S29">
        <v>77</v>
      </c>
      <c r="T29">
        <v>46</v>
      </c>
      <c r="U29">
        <v>40</v>
      </c>
      <c r="V29">
        <v>-7.31</v>
      </c>
      <c r="W29">
        <v>-6.71</v>
      </c>
      <c r="X29">
        <v>-7.05</v>
      </c>
      <c r="Y29">
        <v>-7.03</v>
      </c>
      <c r="Z29">
        <v>10.318</v>
      </c>
      <c r="AA29">
        <v>0.67</v>
      </c>
      <c r="AB29" s="6">
        <f t="shared" si="2"/>
        <v>1.6977225672877845</v>
      </c>
      <c r="AC29">
        <v>-8.1999999999999993</v>
      </c>
      <c r="AD29">
        <v>-7.5</v>
      </c>
      <c r="AE29">
        <v>-4.83</v>
      </c>
      <c r="AF29">
        <v>-5.69</v>
      </c>
      <c r="AG29">
        <v>450</v>
      </c>
      <c r="AH29">
        <v>513</v>
      </c>
      <c r="AI29">
        <v>77</v>
      </c>
      <c r="AJ29">
        <v>87</v>
      </c>
      <c r="AK29">
        <v>454</v>
      </c>
      <c r="AL29">
        <v>363</v>
      </c>
      <c r="AM29">
        <v>532</v>
      </c>
      <c r="AN29">
        <v>34</v>
      </c>
      <c r="AO29">
        <v>41</v>
      </c>
      <c r="AP29">
        <v>28</v>
      </c>
      <c r="AQ29">
        <v>26</v>
      </c>
      <c r="AR29">
        <v>44</v>
      </c>
      <c r="AS29">
        <v>38</v>
      </c>
      <c r="AT29">
        <v>32</v>
      </c>
      <c r="AU29">
        <v>18</v>
      </c>
      <c r="AV29">
        <v>41</v>
      </c>
      <c r="AW29">
        <v>16</v>
      </c>
      <c r="AX29">
        <v>-1</v>
      </c>
      <c r="AY29">
        <v>-15</v>
      </c>
      <c r="AZ29">
        <v>13</v>
      </c>
      <c r="BA29">
        <v>-8</v>
      </c>
      <c r="BB29">
        <v>-5</v>
      </c>
      <c r="BC29">
        <v>1.1299999999999999</v>
      </c>
    </row>
    <row r="30" spans="1:55">
      <c r="A30" t="s">
        <v>45</v>
      </c>
      <c r="B30">
        <v>80</v>
      </c>
      <c r="C30">
        <v>1</v>
      </c>
      <c r="D30">
        <v>175</v>
      </c>
      <c r="E30">
        <v>70</v>
      </c>
      <c r="F30">
        <v>117</v>
      </c>
      <c r="G30">
        <v>76</v>
      </c>
      <c r="H30">
        <v>30</v>
      </c>
      <c r="I30">
        <v>17</v>
      </c>
      <c r="J30">
        <v>18</v>
      </c>
      <c r="K30" s="6">
        <f t="shared" si="0"/>
        <v>1.1666666666666667</v>
      </c>
      <c r="L30" s="6">
        <f t="shared" si="1"/>
        <v>0.94444444444444442</v>
      </c>
      <c r="M30">
        <v>129.41</v>
      </c>
      <c r="S30">
        <v>47</v>
      </c>
      <c r="T30">
        <v>32</v>
      </c>
      <c r="U30">
        <v>31</v>
      </c>
      <c r="V30">
        <v>-5.81</v>
      </c>
      <c r="W30">
        <v>-5.63</v>
      </c>
      <c r="X30">
        <v>-7.62</v>
      </c>
      <c r="Y30">
        <v>-6.35</v>
      </c>
      <c r="Z30">
        <v>101.48</v>
      </c>
      <c r="AA30">
        <v>2.8</v>
      </c>
      <c r="AB30" s="6">
        <v>0</v>
      </c>
      <c r="AC30">
        <v>-11.2</v>
      </c>
      <c r="AD30">
        <v>-4</v>
      </c>
      <c r="AE30">
        <v>0</v>
      </c>
      <c r="AF30">
        <v>-4.88</v>
      </c>
      <c r="AG30">
        <v>307</v>
      </c>
      <c r="AH30">
        <v>350</v>
      </c>
      <c r="AI30">
        <v>53</v>
      </c>
      <c r="AJ30">
        <v>80</v>
      </c>
      <c r="AK30">
        <v>161</v>
      </c>
      <c r="AL30">
        <v>185</v>
      </c>
      <c r="AM30">
        <v>1533</v>
      </c>
      <c r="AN30">
        <v>39</v>
      </c>
      <c r="AO30">
        <v>57</v>
      </c>
      <c r="AP30">
        <v>40</v>
      </c>
      <c r="AQ30">
        <v>54</v>
      </c>
      <c r="AR30">
        <v>60</v>
      </c>
      <c r="AS30">
        <v>57</v>
      </c>
      <c r="AT30">
        <v>32</v>
      </c>
      <c r="AU30">
        <v>6</v>
      </c>
      <c r="AV30">
        <v>10</v>
      </c>
      <c r="AW30">
        <v>1</v>
      </c>
      <c r="AX30">
        <v>-1</v>
      </c>
      <c r="AY30">
        <v>0</v>
      </c>
      <c r="AZ30">
        <v>2</v>
      </c>
      <c r="BA30">
        <v>-2</v>
      </c>
      <c r="BB30">
        <v>0</v>
      </c>
    </row>
    <row r="31" spans="1:55">
      <c r="A31" t="s">
        <v>45</v>
      </c>
      <c r="B31">
        <v>66</v>
      </c>
      <c r="C31">
        <v>1</v>
      </c>
      <c r="D31">
        <v>170</v>
      </c>
      <c r="E31">
        <v>53</v>
      </c>
      <c r="F31">
        <v>126</v>
      </c>
      <c r="G31">
        <v>84</v>
      </c>
      <c r="H31">
        <v>42</v>
      </c>
      <c r="I31">
        <v>14</v>
      </c>
      <c r="J31">
        <v>12</v>
      </c>
      <c r="K31" s="6">
        <f t="shared" si="0"/>
        <v>0.61904761904761907</v>
      </c>
      <c r="L31" s="6">
        <f t="shared" si="1"/>
        <v>1.1666666666666667</v>
      </c>
      <c r="M31">
        <v>123.09</v>
      </c>
      <c r="N31">
        <v>42</v>
      </c>
      <c r="O31">
        <v>87</v>
      </c>
      <c r="P31">
        <v>0.49</v>
      </c>
      <c r="Q31">
        <v>131</v>
      </c>
      <c r="R31">
        <v>6</v>
      </c>
      <c r="S31">
        <v>76</v>
      </c>
      <c r="T31">
        <v>36</v>
      </c>
      <c r="U31">
        <v>53</v>
      </c>
      <c r="V31">
        <v>-11.34</v>
      </c>
      <c r="W31">
        <v>-13.28</v>
      </c>
      <c r="X31">
        <v>-12.47</v>
      </c>
      <c r="Y31">
        <v>-12.36</v>
      </c>
      <c r="Z31">
        <v>37.17</v>
      </c>
      <c r="AA31">
        <v>0.77</v>
      </c>
      <c r="AB31" s="6">
        <f t="shared" ref="AB31:AB36" si="4">AC31/AE31</f>
        <v>1.8685121107266436</v>
      </c>
      <c r="AC31">
        <v>-16.2</v>
      </c>
      <c r="AD31">
        <v>-12.33</v>
      </c>
      <c r="AE31">
        <v>-8.67</v>
      </c>
      <c r="AF31">
        <v>-4.29</v>
      </c>
      <c r="AG31">
        <v>1194</v>
      </c>
      <c r="AH31">
        <v>1361</v>
      </c>
      <c r="AI31">
        <v>50</v>
      </c>
      <c r="AJ31">
        <v>93</v>
      </c>
      <c r="AK31">
        <v>912</v>
      </c>
      <c r="AL31">
        <v>987</v>
      </c>
      <c r="AM31">
        <v>1682</v>
      </c>
      <c r="AN31">
        <v>39</v>
      </c>
      <c r="AO31">
        <v>49</v>
      </c>
      <c r="AP31">
        <v>41</v>
      </c>
    </row>
    <row r="32" spans="1:55">
      <c r="A32" t="s">
        <v>45</v>
      </c>
      <c r="B32">
        <v>81</v>
      </c>
      <c r="C32">
        <v>1</v>
      </c>
      <c r="D32">
        <v>175</v>
      </c>
      <c r="E32">
        <v>62</v>
      </c>
      <c r="F32">
        <v>89</v>
      </c>
      <c r="G32">
        <v>61</v>
      </c>
      <c r="H32">
        <v>37</v>
      </c>
      <c r="I32">
        <v>16</v>
      </c>
      <c r="J32">
        <v>15</v>
      </c>
      <c r="K32" s="6">
        <f t="shared" si="0"/>
        <v>0.83783783783783783</v>
      </c>
      <c r="L32" s="6">
        <f t="shared" si="1"/>
        <v>1.0666666666666667</v>
      </c>
      <c r="M32">
        <v>116.49</v>
      </c>
      <c r="N32">
        <v>74</v>
      </c>
      <c r="O32">
        <v>65</v>
      </c>
      <c r="P32">
        <v>0.65</v>
      </c>
      <c r="Q32">
        <v>176</v>
      </c>
      <c r="R32">
        <v>10.6</v>
      </c>
      <c r="S32">
        <v>58</v>
      </c>
      <c r="T32">
        <v>29</v>
      </c>
      <c r="U32">
        <v>50</v>
      </c>
      <c r="V32">
        <v>-12.33</v>
      </c>
      <c r="W32">
        <v>-8.7100000000000009</v>
      </c>
      <c r="X32">
        <v>-11.63</v>
      </c>
      <c r="Y32">
        <v>-10.89</v>
      </c>
      <c r="Z32">
        <v>82.65</v>
      </c>
      <c r="AA32">
        <v>1.46</v>
      </c>
      <c r="AB32" s="6">
        <f t="shared" si="4"/>
        <v>50.909090909090907</v>
      </c>
      <c r="AC32">
        <v>-16.8</v>
      </c>
      <c r="AD32">
        <v>-11.17</v>
      </c>
      <c r="AE32">
        <v>-0.33</v>
      </c>
      <c r="AF32">
        <v>-4.59</v>
      </c>
      <c r="AG32">
        <v>669</v>
      </c>
      <c r="AH32">
        <v>773</v>
      </c>
      <c r="AI32">
        <v>60</v>
      </c>
      <c r="AJ32">
        <v>90</v>
      </c>
      <c r="AK32">
        <v>422</v>
      </c>
      <c r="AL32">
        <v>664</v>
      </c>
      <c r="AM32">
        <v>921</v>
      </c>
      <c r="AN32">
        <v>31</v>
      </c>
      <c r="AO32">
        <v>48</v>
      </c>
      <c r="AP32">
        <v>38</v>
      </c>
      <c r="AQ32">
        <v>28</v>
      </c>
      <c r="AR32">
        <v>40</v>
      </c>
      <c r="AS32">
        <v>32</v>
      </c>
      <c r="AT32">
        <v>23</v>
      </c>
      <c r="AU32">
        <v>12</v>
      </c>
      <c r="AV32">
        <v>30</v>
      </c>
      <c r="AW32">
        <v>9</v>
      </c>
      <c r="AX32">
        <v>-13</v>
      </c>
      <c r="AY32">
        <v>4</v>
      </c>
      <c r="AZ32">
        <v>10</v>
      </c>
      <c r="BA32">
        <v>-4</v>
      </c>
      <c r="BB32">
        <v>-6</v>
      </c>
      <c r="BC32">
        <v>1.18</v>
      </c>
    </row>
    <row r="33" spans="1:55">
      <c r="A33" t="s">
        <v>45</v>
      </c>
      <c r="B33">
        <v>77</v>
      </c>
      <c r="C33">
        <v>1</v>
      </c>
      <c r="D33">
        <v>164</v>
      </c>
      <c r="E33">
        <v>52</v>
      </c>
      <c r="F33">
        <v>117</v>
      </c>
      <c r="G33">
        <v>64</v>
      </c>
      <c r="H33">
        <v>45</v>
      </c>
      <c r="I33">
        <v>13</v>
      </c>
      <c r="J33">
        <v>11</v>
      </c>
      <c r="K33" s="6">
        <f t="shared" si="0"/>
        <v>0.53333333333333333</v>
      </c>
      <c r="L33" s="6">
        <f t="shared" si="1"/>
        <v>1.1818181818181819</v>
      </c>
      <c r="M33">
        <v>127.52</v>
      </c>
      <c r="N33">
        <v>107</v>
      </c>
      <c r="O33">
        <v>70</v>
      </c>
      <c r="P33">
        <v>1.52</v>
      </c>
      <c r="Q33">
        <v>155</v>
      </c>
      <c r="R33">
        <v>21.4</v>
      </c>
      <c r="S33">
        <v>55</v>
      </c>
      <c r="T33">
        <v>31</v>
      </c>
      <c r="U33">
        <v>44</v>
      </c>
      <c r="V33">
        <v>-9.5</v>
      </c>
      <c r="W33">
        <v>-11.13</v>
      </c>
      <c r="X33">
        <v>-9.7200000000000006</v>
      </c>
      <c r="Y33">
        <v>-10.119999999999999</v>
      </c>
      <c r="Z33">
        <v>72.239999999999995</v>
      </c>
      <c r="AA33">
        <v>1.31</v>
      </c>
      <c r="AB33" s="6">
        <f t="shared" si="4"/>
        <v>20.000000000000004</v>
      </c>
      <c r="AC33">
        <v>-16.600000000000001</v>
      </c>
      <c r="AD33">
        <v>-11.83</v>
      </c>
      <c r="AE33">
        <v>-0.83</v>
      </c>
      <c r="AF33">
        <v>-4.3499999999999996</v>
      </c>
      <c r="AG33">
        <v>963</v>
      </c>
      <c r="AH33">
        <v>1032</v>
      </c>
      <c r="AI33">
        <v>70</v>
      </c>
      <c r="AJ33">
        <v>84</v>
      </c>
      <c r="AK33">
        <v>126</v>
      </c>
      <c r="AL33">
        <v>1062</v>
      </c>
      <c r="AM33">
        <v>1702</v>
      </c>
      <c r="AN33">
        <v>32</v>
      </c>
      <c r="AO33">
        <v>51</v>
      </c>
      <c r="AP33">
        <v>33</v>
      </c>
    </row>
    <row r="34" spans="1:55">
      <c r="A34" t="s">
        <v>45</v>
      </c>
      <c r="B34">
        <v>86</v>
      </c>
      <c r="C34">
        <v>2</v>
      </c>
      <c r="D34">
        <v>157</v>
      </c>
      <c r="E34">
        <v>44</v>
      </c>
      <c r="F34">
        <v>102</v>
      </c>
      <c r="G34">
        <v>60</v>
      </c>
      <c r="H34">
        <v>44</v>
      </c>
      <c r="I34">
        <v>13</v>
      </c>
      <c r="J34">
        <v>11</v>
      </c>
      <c r="K34" s="6">
        <f t="shared" si="0"/>
        <v>0.54545454545454541</v>
      </c>
      <c r="L34" s="6">
        <f t="shared" si="1"/>
        <v>1.1818181818181819</v>
      </c>
      <c r="M34">
        <v>134.16</v>
      </c>
      <c r="N34">
        <v>116</v>
      </c>
      <c r="O34">
        <v>135</v>
      </c>
      <c r="P34">
        <v>0.86</v>
      </c>
      <c r="Q34">
        <v>66</v>
      </c>
      <c r="R34">
        <v>29</v>
      </c>
      <c r="S34">
        <v>59</v>
      </c>
      <c r="T34">
        <v>27</v>
      </c>
      <c r="U34">
        <v>54</v>
      </c>
      <c r="V34">
        <v>-11.14</v>
      </c>
      <c r="W34">
        <v>-8.73</v>
      </c>
      <c r="X34">
        <v>-11.93</v>
      </c>
      <c r="Y34">
        <v>-10.6</v>
      </c>
      <c r="Z34">
        <v>68.400000000000006</v>
      </c>
      <c r="AA34">
        <v>0.24</v>
      </c>
      <c r="AB34" s="6">
        <f t="shared" si="4"/>
        <v>0.31609195402298851</v>
      </c>
      <c r="AC34">
        <v>-5.5</v>
      </c>
      <c r="AD34">
        <v>-5.5</v>
      </c>
      <c r="AE34">
        <v>-17.399999999999999</v>
      </c>
      <c r="AF34">
        <v>-5.09</v>
      </c>
      <c r="AG34">
        <v>940</v>
      </c>
      <c r="AH34">
        <v>1037</v>
      </c>
      <c r="AI34">
        <v>92</v>
      </c>
      <c r="AJ34">
        <v>87</v>
      </c>
      <c r="AK34">
        <v>791</v>
      </c>
      <c r="AL34">
        <v>626</v>
      </c>
      <c r="AM34">
        <v>1538</v>
      </c>
      <c r="AN34">
        <v>39</v>
      </c>
      <c r="AO34">
        <v>41</v>
      </c>
      <c r="AP34">
        <v>43</v>
      </c>
      <c r="AQ34">
        <v>45</v>
      </c>
      <c r="AR34">
        <v>76</v>
      </c>
      <c r="AS34">
        <v>64</v>
      </c>
      <c r="AT34">
        <v>54</v>
      </c>
      <c r="AU34">
        <v>31</v>
      </c>
      <c r="AV34">
        <v>41</v>
      </c>
      <c r="AW34">
        <v>8</v>
      </c>
      <c r="AX34">
        <v>-6</v>
      </c>
      <c r="AY34">
        <v>-2</v>
      </c>
      <c r="AZ34">
        <v>12</v>
      </c>
      <c r="BA34">
        <v>-6</v>
      </c>
      <c r="BB34">
        <v>-7</v>
      </c>
      <c r="BC34">
        <v>3.63</v>
      </c>
    </row>
    <row r="35" spans="1:55">
      <c r="A35" t="s">
        <v>45</v>
      </c>
      <c r="B35">
        <v>61</v>
      </c>
      <c r="C35">
        <v>1</v>
      </c>
      <c r="D35">
        <v>175</v>
      </c>
      <c r="E35">
        <v>51</v>
      </c>
      <c r="F35">
        <v>124</v>
      </c>
      <c r="G35">
        <v>80</v>
      </c>
      <c r="H35">
        <v>44</v>
      </c>
      <c r="I35">
        <v>13</v>
      </c>
      <c r="J35">
        <v>11</v>
      </c>
      <c r="K35" s="6">
        <f t="shared" si="0"/>
        <v>0.54545454545454541</v>
      </c>
      <c r="L35" s="6">
        <f t="shared" si="1"/>
        <v>1.1818181818181819</v>
      </c>
      <c r="M35">
        <v>120.81</v>
      </c>
      <c r="N35">
        <v>83</v>
      </c>
      <c r="O35">
        <v>96</v>
      </c>
      <c r="P35">
        <v>0.87</v>
      </c>
      <c r="Q35">
        <v>180</v>
      </c>
      <c r="R35">
        <v>12.8</v>
      </c>
      <c r="S35">
        <v>87</v>
      </c>
      <c r="T35">
        <v>41</v>
      </c>
      <c r="U35">
        <v>53</v>
      </c>
      <c r="V35">
        <v>-17.03</v>
      </c>
      <c r="W35">
        <v>-15.47</v>
      </c>
      <c r="X35">
        <v>-17.27</v>
      </c>
      <c r="Y35">
        <v>-16.59</v>
      </c>
      <c r="Z35">
        <v>65.239999999999995</v>
      </c>
      <c r="AA35">
        <v>0.64</v>
      </c>
      <c r="AB35" s="6">
        <f t="shared" si="4"/>
        <v>1.5666666666666667</v>
      </c>
      <c r="AC35">
        <v>-18.8</v>
      </c>
      <c r="AD35">
        <v>-17.5</v>
      </c>
      <c r="AE35">
        <v>-12</v>
      </c>
      <c r="AF35">
        <v>-3.19</v>
      </c>
      <c r="AG35">
        <v>1553</v>
      </c>
      <c r="AH35">
        <v>1748</v>
      </c>
      <c r="AI35">
        <v>98</v>
      </c>
      <c r="AJ35">
        <v>93</v>
      </c>
      <c r="AK35">
        <v>1082</v>
      </c>
      <c r="AL35">
        <v>1592</v>
      </c>
      <c r="AM35">
        <v>1985</v>
      </c>
      <c r="AN35">
        <v>39</v>
      </c>
      <c r="AO35">
        <v>41</v>
      </c>
      <c r="AP35">
        <v>33</v>
      </c>
      <c r="AQ35">
        <v>25</v>
      </c>
      <c r="AR35">
        <v>57</v>
      </c>
      <c r="AS35">
        <v>41</v>
      </c>
      <c r="AT35">
        <v>35</v>
      </c>
      <c r="AU35">
        <v>32</v>
      </c>
      <c r="AV35">
        <v>57</v>
      </c>
      <c r="AW35">
        <v>18</v>
      </c>
      <c r="AX35">
        <v>-8</v>
      </c>
      <c r="AY35">
        <v>-10</v>
      </c>
      <c r="AZ35">
        <v>34</v>
      </c>
      <c r="BA35">
        <v>-17</v>
      </c>
      <c r="BB35">
        <v>-17</v>
      </c>
      <c r="BC35">
        <v>0.71</v>
      </c>
    </row>
    <row r="36" spans="1:55">
      <c r="A36" t="s">
        <v>45</v>
      </c>
      <c r="B36">
        <v>61</v>
      </c>
      <c r="C36">
        <v>1</v>
      </c>
      <c r="D36">
        <v>165</v>
      </c>
      <c r="E36">
        <v>60</v>
      </c>
      <c r="F36">
        <v>127</v>
      </c>
      <c r="G36">
        <v>57</v>
      </c>
      <c r="H36">
        <v>55</v>
      </c>
      <c r="I36">
        <v>12</v>
      </c>
      <c r="J36">
        <v>10</v>
      </c>
      <c r="K36" s="6">
        <f t="shared" ref="K36" si="5">(I36+J36)/H36</f>
        <v>0.4</v>
      </c>
      <c r="L36" s="6">
        <f t="shared" ref="L36" si="6">I36/J36</f>
        <v>1.2</v>
      </c>
      <c r="M36">
        <v>131.31</v>
      </c>
      <c r="N36">
        <v>159</v>
      </c>
      <c r="O36">
        <v>161</v>
      </c>
      <c r="P36">
        <v>0.88</v>
      </c>
      <c r="Q36">
        <v>73</v>
      </c>
      <c r="R36">
        <v>10.6</v>
      </c>
      <c r="S36">
        <v>148</v>
      </c>
      <c r="T36">
        <v>65</v>
      </c>
      <c r="U36">
        <v>56</v>
      </c>
      <c r="V36">
        <v>-20.43</v>
      </c>
      <c r="W36">
        <v>-20.63</v>
      </c>
      <c r="X36">
        <v>-22.3</v>
      </c>
      <c r="Y36">
        <v>-21.12</v>
      </c>
      <c r="Z36">
        <v>35.270000000000003</v>
      </c>
      <c r="AA36">
        <v>0.67</v>
      </c>
      <c r="AB36" s="6">
        <f t="shared" si="4"/>
        <v>1.4787878787878788</v>
      </c>
      <c r="AC36">
        <v>-24.4</v>
      </c>
      <c r="AD36">
        <v>-20.170000000000002</v>
      </c>
      <c r="AE36">
        <v>-16.5</v>
      </c>
      <c r="AF36">
        <v>-2.65</v>
      </c>
      <c r="AG36">
        <v>2296</v>
      </c>
      <c r="AH36">
        <v>2401</v>
      </c>
      <c r="AI36">
        <v>49</v>
      </c>
      <c r="AJ36">
        <v>97</v>
      </c>
      <c r="AK36">
        <v>1913</v>
      </c>
      <c r="AL36">
        <v>2101</v>
      </c>
      <c r="AM36">
        <v>2873</v>
      </c>
      <c r="AN36">
        <v>41</v>
      </c>
      <c r="AO36">
        <v>55</v>
      </c>
      <c r="AP36">
        <v>45</v>
      </c>
      <c r="AQ36">
        <v>30</v>
      </c>
      <c r="AR36">
        <v>70</v>
      </c>
      <c r="AS36">
        <v>57</v>
      </c>
      <c r="AT36">
        <v>42</v>
      </c>
      <c r="AU36">
        <v>39</v>
      </c>
      <c r="AV36">
        <v>56</v>
      </c>
      <c r="AW36">
        <v>22</v>
      </c>
      <c r="AX36">
        <v>-6</v>
      </c>
      <c r="AY36">
        <v>-17</v>
      </c>
      <c r="AZ36">
        <v>34</v>
      </c>
      <c r="BA36">
        <v>-11</v>
      </c>
      <c r="BB36">
        <v>-22</v>
      </c>
      <c r="BC36">
        <v>0.48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Xiao</cp:lastModifiedBy>
  <dcterms:created xsi:type="dcterms:W3CDTF">2026-04-19T10:58:56Z</dcterms:created>
  <dcterms:modified xsi:type="dcterms:W3CDTF">2026-04-19T05:49:20Z</dcterms:modified>
</cp:coreProperties>
</file>